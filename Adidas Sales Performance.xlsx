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User\Desktop\Projects\Excel\"/>
    </mc:Choice>
  </mc:AlternateContent>
  <xr:revisionPtr revIDLastSave="0" documentId="13_ncr:1_{B0FE1DDF-33FB-4BFC-AA92-F9248D92BC79}" xr6:coauthVersionLast="47" xr6:coauthVersionMax="47" xr10:uidLastSave="{00000000-0000-0000-0000-000000000000}"/>
  <bookViews>
    <workbookView xWindow="-120" yWindow="-120" windowWidth="20730" windowHeight="11160" activeTab="1" xr2:uid="{5C019857-5B84-4A25-9A6A-28F312BAB50B}"/>
  </bookViews>
  <sheets>
    <sheet name="Sheet1" sheetId="1" r:id="rId1"/>
    <sheet name="Sheet3" sheetId="3" r:id="rId2"/>
    <sheet name="Sheet2" sheetId="2" r:id="rId3"/>
  </sheets>
  <definedNames>
    <definedName name="_xlchart.v5.0" hidden="1">Sheet1!$R$25</definedName>
    <definedName name="_xlchart.v5.1" hidden="1">Sheet1!$R$26:$R$75</definedName>
    <definedName name="_xlchart.v5.2" hidden="1">Sheet1!$S$25</definedName>
    <definedName name="_xlchart.v5.3" hidden="1">Sheet1!$S$26:$S$75</definedName>
    <definedName name="Slicer_Product">#N/A</definedName>
    <definedName name="Slicer_Region">#N/A</definedName>
    <definedName name="Slicer_Retailer">#N/A</definedName>
    <definedName name="Slicer_Year">#N/A</definedName>
  </definedNames>
  <calcPr calcId="191029"/>
  <pivotCaches>
    <pivotCache cacheId="815" r:id="rId4"/>
    <pivotCache cacheId="818" r:id="rId5"/>
    <pivotCache cacheId="821" r:id="rId6"/>
    <pivotCache cacheId="824" r:id="rId7"/>
    <pivotCache cacheId="827" r:id="rId8"/>
    <pivotCache cacheId="830" r:id="rId9"/>
    <pivotCache cacheId="833" r:id="rId10"/>
  </pivotCaches>
  <extLst>
    <ext xmlns:x14="http://schemas.microsoft.com/office/spreadsheetml/2009/9/main" uri="{876F7934-8845-4945-9796-88D515C7AA90}">
      <x14:pivotCaches>
        <pivotCache cacheId="256" r:id="rId11"/>
        <pivotCache cacheId="647"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Sales Adidas_22277e4b-a2c9-4f5e-859c-a837373cb557" name="Data Sales Adidas" connection="Query - Data Sales Adidas"/>
          <x15:modelTable id="A_818467a0-3345-4275-b6c8-1a28a12d7f81" name="A" connection="Query - Measur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6" i="1" l="1"/>
  <c r="S26" i="1"/>
  <c r="R27" i="1"/>
  <c r="S27" i="1"/>
  <c r="R28" i="1"/>
  <c r="S28" i="1"/>
  <c r="R29" i="1"/>
  <c r="S29" i="1"/>
  <c r="R30" i="1"/>
  <c r="S30" i="1"/>
  <c r="R31" i="1"/>
  <c r="S31" i="1"/>
  <c r="R32" i="1"/>
  <c r="S32" i="1"/>
  <c r="R33" i="1"/>
  <c r="S33" i="1"/>
  <c r="R34" i="1"/>
  <c r="S34" i="1"/>
  <c r="R35" i="1"/>
  <c r="S35" i="1"/>
  <c r="R36" i="1"/>
  <c r="S36" i="1"/>
  <c r="R37" i="1"/>
  <c r="S37" i="1"/>
  <c r="R38" i="1"/>
  <c r="S38" i="1"/>
  <c r="R39" i="1"/>
  <c r="S39" i="1"/>
  <c r="R40" i="1"/>
  <c r="S40" i="1"/>
  <c r="R41" i="1"/>
  <c r="S41" i="1"/>
  <c r="R42" i="1"/>
  <c r="S42" i="1"/>
  <c r="R43" i="1"/>
  <c r="S43" i="1"/>
  <c r="R44" i="1"/>
  <c r="S44" i="1"/>
  <c r="R45" i="1"/>
  <c r="S45" i="1"/>
  <c r="R46" i="1"/>
  <c r="S46" i="1"/>
  <c r="R47" i="1"/>
  <c r="S47" i="1"/>
  <c r="R48" i="1"/>
  <c r="S48" i="1"/>
  <c r="R49" i="1"/>
  <c r="S49" i="1"/>
  <c r="R50" i="1"/>
  <c r="S50" i="1"/>
  <c r="R51" i="1"/>
  <c r="S51" i="1"/>
  <c r="R52" i="1"/>
  <c r="S52" i="1"/>
  <c r="R53" i="1"/>
  <c r="S53" i="1"/>
  <c r="R54" i="1"/>
  <c r="S54" i="1"/>
  <c r="R55" i="1"/>
  <c r="S55" i="1"/>
  <c r="R56" i="1"/>
  <c r="S56" i="1"/>
  <c r="R57" i="1"/>
  <c r="S57" i="1"/>
  <c r="R58" i="1"/>
  <c r="S58" i="1"/>
  <c r="R59" i="1"/>
  <c r="S59" i="1"/>
  <c r="R60" i="1"/>
  <c r="S60" i="1"/>
  <c r="R61" i="1"/>
  <c r="S61" i="1"/>
  <c r="R62" i="1"/>
  <c r="S62" i="1"/>
  <c r="R63" i="1"/>
  <c r="S63" i="1"/>
  <c r="R64" i="1"/>
  <c r="S64" i="1"/>
  <c r="R65" i="1"/>
  <c r="S65" i="1"/>
  <c r="R66" i="1"/>
  <c r="S66" i="1"/>
  <c r="R67" i="1"/>
  <c r="S67" i="1"/>
  <c r="R68" i="1"/>
  <c r="S68" i="1"/>
  <c r="R69" i="1"/>
  <c r="S69" i="1"/>
  <c r="R70" i="1"/>
  <c r="S70" i="1"/>
  <c r="R71" i="1"/>
  <c r="S71" i="1"/>
  <c r="R72" i="1"/>
  <c r="S72" i="1"/>
  <c r="R73" i="1"/>
  <c r="S73" i="1"/>
  <c r="R74" i="1"/>
  <c r="S74" i="1"/>
  <c r="R75" i="1"/>
  <c r="S75" i="1"/>
  <c r="R76" i="1"/>
  <c r="S76" i="1"/>
  <c r="S25" i="1"/>
  <c r="R25" i="1"/>
  <c r="C35" i="1"/>
  <c r="E6" i="1"/>
  <c r="D6" i="1"/>
  <c r="C6" i="1"/>
  <c r="B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833349-15B2-4553-98F2-D68C7F776FA2}" name="Query - Data Sales Adidas" description="Connection to the 'Data Sales Adidas' query in the workbook." type="100" refreshedVersion="8" minRefreshableVersion="5">
    <extLst>
      <ext xmlns:x15="http://schemas.microsoft.com/office/spreadsheetml/2010/11/main" uri="{DE250136-89BD-433C-8126-D09CA5730AF9}">
        <x15:connection id="7b8a8752-6692-4153-bfb5-7c3f23296c36"/>
      </ext>
    </extLst>
  </connection>
  <connection id="2" xr16:uid="{9781F010-B073-4F5D-83DF-C3895478BDDB}" name="Query - Measures" description="Connection to the 'Measures' query in the workbook." type="100" refreshedVersion="8" minRefreshableVersion="5">
    <extLst>
      <ext xmlns:x15="http://schemas.microsoft.com/office/spreadsheetml/2010/11/main" uri="{DE250136-89BD-433C-8126-D09CA5730AF9}">
        <x15:connection id="d366aee3-5a16-41c5-8c09-5a0d65a71752"/>
      </ext>
    </extLst>
  </connection>
  <connection id="3" xr16:uid="{23E2FAC3-362D-4E88-B370-F05073E7D09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<sst xmlns="http://schemas.openxmlformats.org/spreadsheetml/2006/main" count="109" uniqueCount="94">
  <si>
    <t>Total Sale</t>
  </si>
  <si>
    <t>Total Unit Sold</t>
  </si>
  <si>
    <t>Total Operating Profit</t>
  </si>
  <si>
    <t>Operatin Margin%</t>
  </si>
  <si>
    <t>Men's Apparel</t>
  </si>
  <si>
    <t>Men's Athletic Footwear</t>
  </si>
  <si>
    <t>Men's Street Footwear</t>
  </si>
  <si>
    <t>Women's Apparel</t>
  </si>
  <si>
    <t>Women's Athletic Footwear</t>
  </si>
  <si>
    <t>Women's Street Footwear</t>
  </si>
  <si>
    <t>Grand Total</t>
  </si>
  <si>
    <t>Product</t>
  </si>
  <si>
    <t>Retailer</t>
  </si>
  <si>
    <t>Amazon</t>
  </si>
  <si>
    <t>Foot Locker</t>
  </si>
  <si>
    <t>Kohl's</t>
  </si>
  <si>
    <t>Sports Direct</t>
  </si>
  <si>
    <t>Walmart</t>
  </si>
  <si>
    <t>West Gear</t>
  </si>
  <si>
    <t>Region</t>
  </si>
  <si>
    <t>Midwest</t>
  </si>
  <si>
    <t>Northeast</t>
  </si>
  <si>
    <t>South</t>
  </si>
  <si>
    <t>Southeast</t>
  </si>
  <si>
    <t>West</t>
  </si>
  <si>
    <t>State</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</si>
  <si>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</si>
  <si>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</si>
  <si>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</si>
  <si>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</si>
  <si>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</si>
  <si>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</si>
  <si>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</si>
  <si>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</si>
  <si>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</si>
  <si>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</si>
  <si>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</si>
  <si>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</si>
  <si>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</si>
  <si>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</si>
  <si>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</si>
  <si>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</si>
  <si>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</si>
  <si>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</si>
  <si>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</si>
  <si>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</si>
  <si>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</si>
  <si>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</si>
  <si>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</si>
  <si>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</si>
  <si>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</si>
  <si>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</si>
  <si>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</si>
  <si>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</si>
  <si>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</si>
  <si>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</si>
  <si>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</si>
  <si>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</si>
  <si>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</si>
  <si>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</si>
  <si>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</si>
  <si>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</si>
  <si>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</si>
  <si>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</si>
  <si>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</si>
  <si>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</si>
  <si>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</si>
  <si>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</si>
  <si>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</si>
  <si>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</si>
  <si>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</si>
  <si>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</si>
  <si>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</si>
  <si>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</si>
  <si>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</si>
  <si>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</si>
  <si>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Sales Method</t>
  </si>
  <si>
    <t>In-store</t>
  </si>
  <si>
    <t>Online</t>
  </si>
  <si>
    <t>Outlet</t>
  </si>
  <si>
    <t>Month Short</t>
  </si>
  <si>
    <t>Apr</t>
  </si>
  <si>
    <t>Aug</t>
  </si>
  <si>
    <t>Dec</t>
  </si>
  <si>
    <t>Feb</t>
  </si>
  <si>
    <t>Jan</t>
  </si>
  <si>
    <t>Jul</t>
  </si>
  <si>
    <t>Jun</t>
  </si>
  <si>
    <t>Mar</t>
  </si>
  <si>
    <t>May</t>
  </si>
  <si>
    <t>Nov</t>
  </si>
  <si>
    <t>Oct</t>
  </si>
  <si>
    <t>Sep</t>
  </si>
  <si>
    <t xml:space="preserve">average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</si>
</sst>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t;=1000000000]0.00,,,&quot;B&quot;;[&gt;=1000000]0.00,,&quot;M&quot;;0.00,&quot;K&quot;"/>
    <numFmt numFmtId="166" formatCode="[&gt;=1000000000]&quot;$&quot;0.00,,,&quot;B&quot;;[&gt;=1000000]&quot;$&quot;0.00,,&quot;M&quot;;&quot;$&quot;0.00,&quot;K&quot;"/>
    <numFmt numFmtId="167" formatCode="[&gt;=1000000000]&quot;$&quot;0,,,&quot;B&quot;;[&gt;=1000000]&quot;$&quot;0,,&quot;M&quot;;&quot;$&quot;0,&quot;K&quot;"/>
  </numFmts>
  <fonts count="1" x14ac:knownFonts="1">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 fontId="0" fillId="0" borderId="0" xfId="0" applyNumberFormat="1"/>
    <xf numFmtId="0" fontId="0" fillId="0" borderId="0" xfId="0" pivotButton="1"/>
    <xf numFmtId="164" fontId="0" fillId="0" borderId="0" xfId="0" applyNumberFormat="1"/>
    <xf numFmtId="10" fontId="0" fillId="0" borderId="0" xfId="0" applyNumberFormat="1"/>
    <xf numFmtId="166" fontId="0" fillId="0" borderId="0" xfId="0" applyNumberFormat="1"/>
    <xf numFmtId="167" fontId="0" fillId="0" borderId="0" xfId="0" applyNumberFormat="1"/>
  </cellXfs>
  <cellStyles count="1">
    <cellStyle name="Normal" xfId="0" builtinId="0"/>
  </cellStyles>
  <dxfs count="165">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font>
        <sz val="12"/>
        <name val="Aptos Narrow"/>
        <family val="2"/>
        <scheme val="none"/>
      </font>
    </dxf>
    <dxf>
      <font>
        <sz val="12"/>
        <color rgb="FF150180"/>
        <name val="Aptos Narrow"/>
        <family val="2"/>
        <scheme val="none"/>
      </font>
      <fill>
        <patternFill>
          <bgColor rgb="FFFF66FF"/>
        </patternFill>
      </fill>
      <border diagonalUp="1">
        <diagonal style="thin">
          <color rgb="FF150180"/>
        </diagonal>
      </border>
    </dxf>
    <dxf>
      <numFmt numFmtId="166" formatCode="[&gt;=1000000000]&quot;$&quot;0.00,,,&quot;B&quot;;[&gt;=1000000]&quot;$&quot;0.00,,&quot;M&quot;;&quot;$&quot;0.00,&quot;K&quot;"/>
    </dxf>
    <dxf>
      <numFmt numFmtId="166" formatCode="[&gt;=1000000000]&quot;$&quot;0.00,,,&quot;B&quot;;[&gt;=1000000]&quot;$&quot;0.00,,&quot;M&quot;;&quot;$&quot;0.00,&quot;K&quot;"/>
    </dxf>
    <dxf>
      <numFmt numFmtId="167" formatCode="[&gt;=1000000000]&quot;$&quot;0,,,&quot;B&quot;;[&gt;=1000000]&quot;$&quot;0,,&quot;M&quot;;&quot;$&quot;0,&quot;K&quot;"/>
    </dxf>
    <dxf>
      <numFmt numFmtId="166" formatCode="[&gt;=1000000000]&quot;$&quot;0.00,,,&quot;B&quot;;[&gt;=1000000]&quot;$&quot;0.00,,&quot;M&quot;;&quot;$&quot;0.00,&quot;K&quot;"/>
    </dxf>
    <dxf>
      <numFmt numFmtId="166" formatCode="[&gt;=1000000000]&quot;$&quot;0.00,,,&quot;B&quot;;[&gt;=1000000]&quot;$&quot;0.00,,&quot;M&quot;;&quot;$&quot;0.00,&quot;K&quot;"/>
    </dxf>
    <dxf>
      <numFmt numFmtId="166" formatCode="[&gt;=1000000000]&quot;$&quot;0.00,,,&quot;B&quot;;[&gt;=1000000]&quot;$&quot;0.00,,&quot;M&quot;;&quot;$&quot;0.00,&quot;K&quot;"/>
    </dxf>
  </dxfs>
  <tableStyles count="1" defaultTableStyle="TableStyleMedium2" defaultPivotStyle="PivotStyleLight16">
    <tableStyle name="data" pivot="0" table="0" count="4" xr9:uid="{2C68B368-F2EE-4630-A2A6-F0312E59E60E}">
      <tableStyleElement type="wholeTable" dxfId="158"/>
      <tableStyleElement type="headerRow" dxfId="157"/>
    </tableStyle>
  </tableStyles>
  <colors>
    <mruColors>
      <color rgb="FF000066"/>
      <color rgb="FFFF550E"/>
      <color rgb="FF150180"/>
      <color rgb="FFFF66FF"/>
      <color rgb="FFFF66CC"/>
      <color rgb="FFFD81D0"/>
      <color rgb="FFAC9534"/>
      <color rgb="FFE2121A"/>
    </mruColors>
  </colors>
  <extLst>
    <ext xmlns:x14="http://schemas.microsoft.com/office/spreadsheetml/2009/9/main" uri="{46F421CA-312F-682f-3DD2-61675219B42D}">
      <x14:dxfs count="2">
        <dxf>
          <font>
            <sz val="12"/>
            <color rgb="FFFF550E"/>
            <name val="Aptos Narrow"/>
            <family val="2"/>
            <scheme val="none"/>
          </font>
          <fill>
            <patternFill>
              <bgColor rgb="FF000066"/>
            </patternFill>
          </fill>
        </dxf>
        <dxf>
          <font>
            <color rgb="FFFF550E"/>
          </font>
        </dxf>
      </x14:dxfs>
    </ext>
    <ext xmlns:x14="http://schemas.microsoft.com/office/spreadsheetml/2009/9/main" uri="{EB79DEF2-80B8-43e5-95BD-54CBDDF9020C}">
      <x14:slicerStyles defaultSlicerStyle="SlicerStyleLight1">
        <x14:slicerStyle name="data">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3" Type="http://schemas.openxmlformats.org/officeDocument/2006/relationships/worksheet" Target="worksheets/sheet3.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Performance.xlsx]Sheet1!PivotTable3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501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550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97802661601973"/>
          <c:y val="6.8535825545171333E-2"/>
          <c:w val="0.52651789129373905"/>
          <c:h val="0.86292834890965731"/>
        </c:manualLayout>
      </c:layout>
      <c:barChart>
        <c:barDir val="bar"/>
        <c:grouping val="clustered"/>
        <c:varyColors val="0"/>
        <c:ser>
          <c:idx val="0"/>
          <c:order val="0"/>
          <c:tx>
            <c:strRef>
              <c:f>Sheet1!$C$24</c:f>
              <c:strCache>
                <c:ptCount val="1"/>
                <c:pt idx="0">
                  <c:v>Total Sale</c:v>
                </c:pt>
              </c:strCache>
            </c:strRef>
          </c:tx>
          <c:spPr>
            <a:solidFill>
              <a:srgbClr val="1501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Sheet1!$B$25:$B$31</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Sheet1!$C$25:$C$31</c:f>
              <c:numCache>
                <c:formatCode>[&gt;=1000000000]"$"0.00,,,"B";[&gt;=1000000]"$"0.00,,"M";"$"0.00,"K"</c:formatCode>
                <c:ptCount val="6"/>
                <c:pt idx="0">
                  <c:v>208826244</c:v>
                </c:pt>
                <c:pt idx="1">
                  <c:v>179038860</c:v>
                </c:pt>
                <c:pt idx="2">
                  <c:v>153673680</c:v>
                </c:pt>
                <c:pt idx="3">
                  <c:v>128002813</c:v>
                </c:pt>
                <c:pt idx="4">
                  <c:v>123728632</c:v>
                </c:pt>
                <c:pt idx="5">
                  <c:v>106631896</c:v>
                </c:pt>
              </c:numCache>
            </c:numRef>
          </c:val>
          <c:extLst>
            <c:ext xmlns:c16="http://schemas.microsoft.com/office/drawing/2014/chart" uri="{C3380CC4-5D6E-409C-BE32-E72D297353CC}">
              <c16:uniqueId val="{00000000-AE81-468D-B052-E83B40E9DB16}"/>
            </c:ext>
          </c:extLst>
        </c:ser>
        <c:ser>
          <c:idx val="1"/>
          <c:order val="1"/>
          <c:tx>
            <c:strRef>
              <c:f>Sheet1!$D$24</c:f>
              <c:strCache>
                <c:ptCount val="1"/>
                <c:pt idx="0">
                  <c:v>Total Operating Profit</c:v>
                </c:pt>
              </c:strCache>
            </c:strRef>
          </c:tx>
          <c:spPr>
            <a:solidFill>
              <a:srgbClr val="FF550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Sheet1!$B$25:$B$31</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Sheet1!$D$25:$D$31</c:f>
              <c:numCache>
                <c:formatCode>[&gt;=1000000000]"$"0.00,,,"B";[&gt;=1000000]"$"0.00,,"M";"$"0.00,"K"</c:formatCode>
                <c:ptCount val="6"/>
                <c:pt idx="0">
                  <c:v>82802260.619999841</c:v>
                </c:pt>
                <c:pt idx="1">
                  <c:v>68650970.560000062</c:v>
                </c:pt>
                <c:pt idx="2">
                  <c:v>51846888.19000008</c:v>
                </c:pt>
                <c:pt idx="3">
                  <c:v>45095826.81000001</c:v>
                </c:pt>
                <c:pt idx="4">
                  <c:v>44763030.329999968</c:v>
                </c:pt>
                <c:pt idx="5">
                  <c:v>38975784.940000013</c:v>
                </c:pt>
              </c:numCache>
            </c:numRef>
          </c:val>
          <c:extLst>
            <c:ext xmlns:c16="http://schemas.microsoft.com/office/drawing/2014/chart" uri="{C3380CC4-5D6E-409C-BE32-E72D297353CC}">
              <c16:uniqueId val="{00000002-AE81-468D-B052-E83B40E9DB16}"/>
            </c:ext>
          </c:extLst>
        </c:ser>
        <c:dLbls>
          <c:dLblPos val="outEnd"/>
          <c:showLegendKey val="0"/>
          <c:showVal val="1"/>
          <c:showCatName val="0"/>
          <c:showSerName val="0"/>
          <c:showPercent val="0"/>
          <c:showBubbleSize val="0"/>
        </c:dLbls>
        <c:gapWidth val="182"/>
        <c:overlap val="-36"/>
        <c:axId val="1439125968"/>
        <c:axId val="1439125616"/>
      </c:barChart>
      <c:catAx>
        <c:axId val="14391259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9125616"/>
        <c:crosses val="autoZero"/>
        <c:auto val="1"/>
        <c:lblAlgn val="ctr"/>
        <c:lblOffset val="100"/>
        <c:noMultiLvlLbl val="0"/>
      </c:catAx>
      <c:valAx>
        <c:axId val="1439125616"/>
        <c:scaling>
          <c:orientation val="minMax"/>
        </c:scaling>
        <c:delete val="1"/>
        <c:axPos val="t"/>
        <c:numFmt formatCode="[&gt;=1000000000]&quot;$&quot;0.00,,,&quot;B&quot;;[&gt;=1000000]&quot;$&quot;0.00,,&quot;M&quot;;&quot;$&quot;0.00,&quot;K&quot;" sourceLinked="1"/>
        <c:majorTickMark val="none"/>
        <c:minorTickMark val="none"/>
        <c:tickLblPos val="nextTo"/>
        <c:crossAx val="143912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Performance.xlsx]Sheet1!PivotTable6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501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FF55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996545768566495E-2"/>
          <c:y val="0.1728395061728395"/>
          <c:w val="0.92400690846286704"/>
          <c:h val="0.68396131039175656"/>
        </c:manualLayout>
      </c:layout>
      <c:barChart>
        <c:barDir val="col"/>
        <c:grouping val="clustered"/>
        <c:varyColors val="0"/>
        <c:ser>
          <c:idx val="0"/>
          <c:order val="0"/>
          <c:tx>
            <c:strRef>
              <c:f>Sheet1!$P$14</c:f>
              <c:strCache>
                <c:ptCount val="1"/>
                <c:pt idx="0">
                  <c:v>Total Sale</c:v>
                </c:pt>
              </c:strCache>
            </c:strRef>
          </c:tx>
          <c:spPr>
            <a:solidFill>
              <a:srgbClr val="1501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Sheet1!$O$15:$O$20</c:f>
              <c:strCache>
                <c:ptCount val="5"/>
                <c:pt idx="0">
                  <c:v>West</c:v>
                </c:pt>
                <c:pt idx="1">
                  <c:v>Northeast</c:v>
                </c:pt>
                <c:pt idx="2">
                  <c:v>Southeast</c:v>
                </c:pt>
                <c:pt idx="3">
                  <c:v>South</c:v>
                </c:pt>
                <c:pt idx="4">
                  <c:v>Midwest</c:v>
                </c:pt>
              </c:strCache>
            </c:strRef>
          </c:cat>
          <c:val>
            <c:numRef>
              <c:f>Sheet1!$P$15:$P$20</c:f>
              <c:numCache>
                <c:formatCode>[&gt;=1000000000]"$"0.00,,,"B";[&gt;=1000000]"$"0.00,,"M";"$"0.00,"K"</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0-ADC3-497D-A511-95E4889A2446}"/>
            </c:ext>
          </c:extLst>
        </c:ser>
        <c:dLbls>
          <c:dLblPos val="outEnd"/>
          <c:showLegendKey val="0"/>
          <c:showVal val="1"/>
          <c:showCatName val="0"/>
          <c:showSerName val="0"/>
          <c:showPercent val="0"/>
          <c:showBubbleSize val="0"/>
        </c:dLbls>
        <c:gapWidth val="219"/>
        <c:axId val="2046466736"/>
        <c:axId val="2046468496"/>
      </c:barChart>
      <c:lineChart>
        <c:grouping val="standard"/>
        <c:varyColors val="0"/>
        <c:ser>
          <c:idx val="1"/>
          <c:order val="1"/>
          <c:tx>
            <c:strRef>
              <c:f>Sheet1!$Q$14</c:f>
              <c:strCache>
                <c:ptCount val="1"/>
                <c:pt idx="0">
                  <c:v>Total Operating Profit</c:v>
                </c:pt>
              </c:strCache>
            </c:strRef>
          </c:tx>
          <c:spPr>
            <a:ln w="28575" cap="rnd">
              <a:solidFill>
                <a:srgbClr val="FF550E"/>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Sheet1!$O$15:$O$20</c:f>
              <c:strCache>
                <c:ptCount val="5"/>
                <c:pt idx="0">
                  <c:v>West</c:v>
                </c:pt>
                <c:pt idx="1">
                  <c:v>Northeast</c:v>
                </c:pt>
                <c:pt idx="2">
                  <c:v>Southeast</c:v>
                </c:pt>
                <c:pt idx="3">
                  <c:v>South</c:v>
                </c:pt>
                <c:pt idx="4">
                  <c:v>Midwest</c:v>
                </c:pt>
              </c:strCache>
            </c:strRef>
          </c:cat>
          <c:val>
            <c:numRef>
              <c:f>Sheet1!$Q$15:$Q$20</c:f>
              <c:numCache>
                <c:formatCode>[&gt;=1000000000]"$"0.00,,,"B";[&gt;=1000000]"$"0.00,,"M";"$"0.00,"K"</c:formatCode>
                <c:ptCount val="5"/>
                <c:pt idx="0">
                  <c:v>89609406.550000042</c:v>
                </c:pt>
                <c:pt idx="1">
                  <c:v>68020587.650000066</c:v>
                </c:pt>
                <c:pt idx="2">
                  <c:v>60555416.700000018</c:v>
                </c:pt>
                <c:pt idx="3">
                  <c:v>61138004.070000045</c:v>
                </c:pt>
                <c:pt idx="4">
                  <c:v>52811346.480000004</c:v>
                </c:pt>
              </c:numCache>
            </c:numRef>
          </c:val>
          <c:smooth val="0"/>
          <c:extLst>
            <c:ext xmlns:c16="http://schemas.microsoft.com/office/drawing/2014/chart" uri="{C3380CC4-5D6E-409C-BE32-E72D297353CC}">
              <c16:uniqueId val="{00000001-ADC3-497D-A511-95E4889A2446}"/>
            </c:ext>
          </c:extLst>
        </c:ser>
        <c:dLbls>
          <c:showLegendKey val="0"/>
          <c:showVal val="0"/>
          <c:showCatName val="0"/>
          <c:showSerName val="0"/>
          <c:showPercent val="0"/>
          <c:showBubbleSize val="0"/>
        </c:dLbls>
        <c:marker val="1"/>
        <c:smooth val="0"/>
        <c:axId val="2046466736"/>
        <c:axId val="2046468496"/>
      </c:lineChart>
      <c:catAx>
        <c:axId val="204646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6468496"/>
        <c:crosses val="autoZero"/>
        <c:auto val="1"/>
        <c:lblAlgn val="ctr"/>
        <c:lblOffset val="100"/>
        <c:noMultiLvlLbl val="0"/>
      </c:catAx>
      <c:valAx>
        <c:axId val="2046468496"/>
        <c:scaling>
          <c:orientation val="minMax"/>
        </c:scaling>
        <c:delete val="1"/>
        <c:axPos val="l"/>
        <c:numFmt formatCode="[&gt;=1000000000]&quot;$&quot;0.00,,,&quot;B&quot;;[&gt;=1000000]&quot;$&quot;0.00,,&quot;M&quot;;&quot;$&quot;0.00,&quot;K&quot;" sourceLinked="1"/>
        <c:majorTickMark val="none"/>
        <c:minorTickMark val="none"/>
        <c:tickLblPos val="nextTo"/>
        <c:crossAx val="204646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Performance.xlsx]Sheet1!Monthly</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150180"/>
            </a:solidFill>
            <a:round/>
          </a:ln>
          <a:effectLst/>
        </c:spPr>
        <c:marker>
          <c:symbol val="circle"/>
          <c:size val="5"/>
          <c:spPr>
            <a:solidFill>
              <a:srgbClr val="15018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550E"/>
            </a:solidFill>
            <a:round/>
          </a:ln>
          <a:effectLst/>
        </c:spPr>
        <c:marker>
          <c:symbol val="circle"/>
          <c:size val="5"/>
          <c:spPr>
            <a:solidFill>
              <a:srgbClr val="FF550E"/>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376747608535691E-2"/>
          <c:y val="0.25345219512759143"/>
          <c:w val="0.93524650478292859"/>
          <c:h val="0.61379675558176372"/>
        </c:manualLayout>
      </c:layout>
      <c:lineChart>
        <c:grouping val="standard"/>
        <c:varyColors val="0"/>
        <c:ser>
          <c:idx val="0"/>
          <c:order val="0"/>
          <c:tx>
            <c:strRef>
              <c:f>Sheet1!$AC$14</c:f>
              <c:strCache>
                <c:ptCount val="1"/>
                <c:pt idx="0">
                  <c:v>Total Sale</c:v>
                </c:pt>
              </c:strCache>
            </c:strRef>
          </c:tx>
          <c:spPr>
            <a:ln w="28575" cap="rnd">
              <a:solidFill>
                <a:srgbClr val="150180"/>
              </a:solidFill>
              <a:round/>
            </a:ln>
            <a:effectLst/>
          </c:spPr>
          <c:marker>
            <c:symbol val="circle"/>
            <c:size val="5"/>
            <c:spPr>
              <a:solidFill>
                <a:srgbClr val="15018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Sheet1!$AB$15:$AB$27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Sheet1!$AC$15:$AC$27</c:f>
              <c:numCache>
                <c:formatCode>[&gt;=1000000000]"$"0,,,"B";[&gt;=1000000]"$"0,,"M";"$"0,"K"</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5D2A-4913-A66E-AC7CB340C36D}"/>
            </c:ext>
          </c:extLst>
        </c:ser>
        <c:ser>
          <c:idx val="1"/>
          <c:order val="1"/>
          <c:tx>
            <c:strRef>
              <c:f>Sheet1!$AD$14</c:f>
              <c:strCache>
                <c:ptCount val="1"/>
                <c:pt idx="0">
                  <c:v>Total Operating Profit</c:v>
                </c:pt>
              </c:strCache>
            </c:strRef>
          </c:tx>
          <c:spPr>
            <a:ln w="28575" cap="rnd">
              <a:solidFill>
                <a:srgbClr val="FF550E"/>
              </a:solidFill>
              <a:round/>
            </a:ln>
            <a:effectLst/>
          </c:spPr>
          <c:marker>
            <c:symbol val="circle"/>
            <c:size val="5"/>
            <c:spPr>
              <a:solidFill>
                <a:srgbClr val="FF550E"/>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Sheet1!$AB$15:$AB$27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Sheet1!$AD$15:$AD$27</c:f>
              <c:numCache>
                <c:formatCode>[&gt;=1000000000]"$"0,,,"B";[&gt;=1000000]"$"0,,"M";"$"0,"K"</c:formatCode>
                <c:ptCount val="12"/>
                <c:pt idx="0">
                  <c:v>25141934.509999998</c:v>
                </c:pt>
                <c:pt idx="1">
                  <c:v>21392736.699999999</c:v>
                </c:pt>
                <c:pt idx="2">
                  <c:v>20439788.000000011</c:v>
                </c:pt>
                <c:pt idx="3">
                  <c:v>27559237.310000006</c:v>
                </c:pt>
                <c:pt idx="4">
                  <c:v>29946255.329999976</c:v>
                </c:pt>
                <c:pt idx="5">
                  <c:v>26714715.920000002</c:v>
                </c:pt>
                <c:pt idx="6">
                  <c:v>34054898.590000033</c:v>
                </c:pt>
                <c:pt idx="7">
                  <c:v>34451440.300000019</c:v>
                </c:pt>
                <c:pt idx="8">
                  <c:v>31009586.730000008</c:v>
                </c:pt>
                <c:pt idx="9">
                  <c:v>25078444.599999975</c:v>
                </c:pt>
                <c:pt idx="10">
                  <c:v>24755521.43</c:v>
                </c:pt>
                <c:pt idx="11">
                  <c:v>31590202.030000001</c:v>
                </c:pt>
              </c:numCache>
            </c:numRef>
          </c:val>
          <c:smooth val="0"/>
          <c:extLst>
            <c:ext xmlns:c16="http://schemas.microsoft.com/office/drawing/2014/chart" uri="{C3380CC4-5D6E-409C-BE32-E72D297353CC}">
              <c16:uniqueId val="{00000001-5D2A-4913-A66E-AC7CB340C36D}"/>
            </c:ext>
          </c:extLst>
        </c:ser>
        <c:dLbls>
          <c:dLblPos val="t"/>
          <c:showLegendKey val="0"/>
          <c:showVal val="1"/>
          <c:showCatName val="0"/>
          <c:showSerName val="0"/>
          <c:showPercent val="0"/>
          <c:showBubbleSize val="0"/>
        </c:dLbls>
        <c:marker val="1"/>
        <c:smooth val="0"/>
        <c:axId val="1227803088"/>
        <c:axId val="1227803440"/>
      </c:lineChart>
      <c:catAx>
        <c:axId val="122780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7803440"/>
        <c:crosses val="autoZero"/>
        <c:auto val="1"/>
        <c:lblAlgn val="ctr"/>
        <c:lblOffset val="100"/>
        <c:noMultiLvlLbl val="0"/>
      </c:catAx>
      <c:valAx>
        <c:axId val="1227803440"/>
        <c:scaling>
          <c:orientation val="minMax"/>
        </c:scaling>
        <c:delete val="1"/>
        <c:axPos val="l"/>
        <c:numFmt formatCode="[&gt;=1000000000]&quot;$&quot;0,,,&quot;B&quot;;[&gt;=1000000]&quot;$&quot;0,,&quot;M&quot;;&quot;$&quot;0,&quot;K&quot;" sourceLinked="1"/>
        <c:majorTickMark val="none"/>
        <c:minorTickMark val="none"/>
        <c:tickLblPos val="nextTo"/>
        <c:crossAx val="1227803088"/>
        <c:crosses val="autoZero"/>
        <c:crossBetween val="between"/>
      </c:valAx>
      <c:spPr>
        <a:noFill/>
        <a:ln>
          <a:noFill/>
        </a:ln>
        <a:effectLst/>
      </c:spPr>
    </c:plotArea>
    <c:legend>
      <c:legendPos val="r"/>
      <c:layout>
        <c:manualLayout>
          <c:xMode val="edge"/>
          <c:yMode val="edge"/>
          <c:x val="1.3640877671747985E-2"/>
          <c:y val="0.13500803588978694"/>
          <c:w val="0.327050807390798"/>
          <c:h val="0.201349566986945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Performance.xlsx]Sheet1!PivotTable5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501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550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72819921053487"/>
          <c:y val="0.1529051987767584"/>
          <c:w val="0.71788257790802357"/>
          <c:h val="0.82262996941896027"/>
        </c:manualLayout>
      </c:layout>
      <c:barChart>
        <c:barDir val="bar"/>
        <c:grouping val="clustered"/>
        <c:varyColors val="0"/>
        <c:ser>
          <c:idx val="0"/>
          <c:order val="0"/>
          <c:tx>
            <c:strRef>
              <c:f>Sheet1!$J$26</c:f>
              <c:strCache>
                <c:ptCount val="1"/>
                <c:pt idx="0">
                  <c:v>Total Sale</c:v>
                </c:pt>
              </c:strCache>
            </c:strRef>
          </c:tx>
          <c:spPr>
            <a:solidFill>
              <a:srgbClr val="1501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Sheet1!$I$27:$I$33</c:f>
              <c:strCache>
                <c:ptCount val="6"/>
                <c:pt idx="0">
                  <c:v>West Gear</c:v>
                </c:pt>
                <c:pt idx="1">
                  <c:v>Foot Locker</c:v>
                </c:pt>
                <c:pt idx="2">
                  <c:v>Sports Direct</c:v>
                </c:pt>
                <c:pt idx="3">
                  <c:v>Kohl's</c:v>
                </c:pt>
                <c:pt idx="4">
                  <c:v>Amazon</c:v>
                </c:pt>
                <c:pt idx="5">
                  <c:v>Walmart</c:v>
                </c:pt>
              </c:strCache>
            </c:strRef>
          </c:cat>
          <c:val>
            <c:numRef>
              <c:f>Sheet1!$J$27:$J$33</c:f>
              <c:numCache>
                <c:formatCode>[&gt;=1000000000]"$"0.00,,,"B";[&gt;=1000000]"$"0.00,,"M";"$"0.00,"K"</c:formatCode>
                <c:ptCount val="6"/>
                <c:pt idx="0">
                  <c:v>242964333</c:v>
                </c:pt>
                <c:pt idx="1">
                  <c:v>220094720</c:v>
                </c:pt>
                <c:pt idx="2">
                  <c:v>182470997</c:v>
                </c:pt>
                <c:pt idx="3">
                  <c:v>102114753</c:v>
                </c:pt>
                <c:pt idx="4">
                  <c:v>77698912</c:v>
                </c:pt>
                <c:pt idx="5">
                  <c:v>74558410</c:v>
                </c:pt>
              </c:numCache>
            </c:numRef>
          </c:val>
          <c:extLst>
            <c:ext xmlns:c16="http://schemas.microsoft.com/office/drawing/2014/chart" uri="{C3380CC4-5D6E-409C-BE32-E72D297353CC}">
              <c16:uniqueId val="{00000000-D463-4E90-8884-72C9F34C7D80}"/>
            </c:ext>
          </c:extLst>
        </c:ser>
        <c:ser>
          <c:idx val="1"/>
          <c:order val="1"/>
          <c:tx>
            <c:strRef>
              <c:f>Sheet1!$K$26</c:f>
              <c:strCache>
                <c:ptCount val="1"/>
                <c:pt idx="0">
                  <c:v>Total Operating Profit</c:v>
                </c:pt>
              </c:strCache>
            </c:strRef>
          </c:tx>
          <c:spPr>
            <a:solidFill>
              <a:srgbClr val="FF550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Sheet1!$I$27:$I$33</c:f>
              <c:strCache>
                <c:ptCount val="6"/>
                <c:pt idx="0">
                  <c:v>West Gear</c:v>
                </c:pt>
                <c:pt idx="1">
                  <c:v>Foot Locker</c:v>
                </c:pt>
                <c:pt idx="2">
                  <c:v>Sports Direct</c:v>
                </c:pt>
                <c:pt idx="3">
                  <c:v>Kohl's</c:v>
                </c:pt>
                <c:pt idx="4">
                  <c:v>Amazon</c:v>
                </c:pt>
                <c:pt idx="5">
                  <c:v>Walmart</c:v>
                </c:pt>
              </c:strCache>
            </c:strRef>
          </c:cat>
          <c:val>
            <c:numRef>
              <c:f>Sheet1!$K$27:$K$33</c:f>
              <c:numCache>
                <c:formatCode>[&gt;=1000000000]"$"0.00,,,"B";[&gt;=1000000]"$"0.00,,"M";"$"0.00,"K"</c:formatCode>
                <c:ptCount val="6"/>
                <c:pt idx="0">
                  <c:v>85667873.180000037</c:v>
                </c:pt>
                <c:pt idx="1">
                  <c:v>80722124.810000047</c:v>
                </c:pt>
                <c:pt idx="2">
                  <c:v>74332954.960000008</c:v>
                </c:pt>
                <c:pt idx="3">
                  <c:v>36811252.580000006</c:v>
                </c:pt>
                <c:pt idx="4">
                  <c:v>28818503.310000002</c:v>
                </c:pt>
                <c:pt idx="5">
                  <c:v>25782052.610000003</c:v>
                </c:pt>
              </c:numCache>
            </c:numRef>
          </c:val>
          <c:extLst>
            <c:ext xmlns:c16="http://schemas.microsoft.com/office/drawing/2014/chart" uri="{C3380CC4-5D6E-409C-BE32-E72D297353CC}">
              <c16:uniqueId val="{00000001-D463-4E90-8884-72C9F34C7D80}"/>
            </c:ext>
          </c:extLst>
        </c:ser>
        <c:dLbls>
          <c:dLblPos val="outEnd"/>
          <c:showLegendKey val="0"/>
          <c:showVal val="1"/>
          <c:showCatName val="0"/>
          <c:showSerName val="0"/>
          <c:showPercent val="0"/>
          <c:showBubbleSize val="0"/>
        </c:dLbls>
        <c:gapWidth val="182"/>
        <c:overlap val="-8"/>
        <c:axId val="2060897088"/>
        <c:axId val="2060898848"/>
      </c:barChart>
      <c:catAx>
        <c:axId val="20608970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0898848"/>
        <c:crosses val="autoZero"/>
        <c:auto val="1"/>
        <c:lblAlgn val="ctr"/>
        <c:lblOffset val="100"/>
        <c:noMultiLvlLbl val="0"/>
      </c:catAx>
      <c:valAx>
        <c:axId val="2060898848"/>
        <c:scaling>
          <c:orientation val="minMax"/>
        </c:scaling>
        <c:delete val="1"/>
        <c:axPos val="t"/>
        <c:numFmt formatCode="[&gt;=1000000000]&quot;$&quot;0.00,,,&quot;B&quot;;[&gt;=1000000]&quot;$&quot;0.00,,&quot;M&quot;;&quot;$&quot;0.00,&quot;K&quot;" sourceLinked="1"/>
        <c:majorTickMark val="none"/>
        <c:minorTickMark val="none"/>
        <c:tickLblPos val="nextTo"/>
        <c:crossAx val="206089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Performance.xlsx]Sheet1!PivotTable9</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150180"/>
          </a:solidFill>
          <a:ln w="19050">
            <a:noFill/>
          </a:ln>
          <a:effectLst/>
        </c:spPr>
      </c:pivotFmt>
      <c:pivotFmt>
        <c:idx val="7"/>
        <c:spPr>
          <a:solidFill>
            <a:srgbClr val="FF550E"/>
          </a:solidFill>
          <a:ln w="19050">
            <a:noFill/>
          </a:ln>
          <a:effectLst/>
        </c:spPr>
      </c:pivotFmt>
      <c:pivotFmt>
        <c:idx val="8"/>
        <c:spPr>
          <a:solidFill>
            <a:srgbClr val="FD81D0"/>
          </a:solidFill>
          <a:ln w="19050">
            <a:noFill/>
          </a:ln>
          <a:effectLst/>
        </c:spPr>
      </c:pivotFmt>
    </c:pivotFmts>
    <c:plotArea>
      <c:layout/>
      <c:pieChart>
        <c:varyColors val="1"/>
        <c:ser>
          <c:idx val="0"/>
          <c:order val="0"/>
          <c:tx>
            <c:strRef>
              <c:f>Sheet1!$W$24</c:f>
              <c:strCache>
                <c:ptCount val="1"/>
                <c:pt idx="0">
                  <c:v>Total</c:v>
                </c:pt>
              </c:strCache>
            </c:strRef>
          </c:tx>
          <c:spPr>
            <a:ln>
              <a:noFill/>
            </a:ln>
          </c:spPr>
          <c:dPt>
            <c:idx val="0"/>
            <c:bubble3D val="0"/>
            <c:spPr>
              <a:solidFill>
                <a:srgbClr val="150180"/>
              </a:solidFill>
              <a:ln w="19050">
                <a:noFill/>
              </a:ln>
              <a:effectLst/>
            </c:spPr>
            <c:extLst>
              <c:ext xmlns:c16="http://schemas.microsoft.com/office/drawing/2014/chart" uri="{C3380CC4-5D6E-409C-BE32-E72D297353CC}">
                <c16:uniqueId val="{00000001-210E-4B87-B1F5-DF04F75EAEF1}"/>
              </c:ext>
            </c:extLst>
          </c:dPt>
          <c:dPt>
            <c:idx val="1"/>
            <c:bubble3D val="0"/>
            <c:spPr>
              <a:solidFill>
                <a:srgbClr val="FF550E"/>
              </a:solidFill>
              <a:ln w="19050">
                <a:noFill/>
              </a:ln>
              <a:effectLst/>
            </c:spPr>
            <c:extLst>
              <c:ext xmlns:c16="http://schemas.microsoft.com/office/drawing/2014/chart" uri="{C3380CC4-5D6E-409C-BE32-E72D297353CC}">
                <c16:uniqueId val="{00000003-210E-4B87-B1F5-DF04F75EAEF1}"/>
              </c:ext>
            </c:extLst>
          </c:dPt>
          <c:dPt>
            <c:idx val="2"/>
            <c:bubble3D val="0"/>
            <c:spPr>
              <a:solidFill>
                <a:srgbClr val="FD81D0"/>
              </a:solidFill>
              <a:ln w="19050">
                <a:noFill/>
              </a:ln>
              <a:effectLst/>
            </c:spPr>
            <c:extLst>
              <c:ext xmlns:c16="http://schemas.microsoft.com/office/drawing/2014/chart" uri="{C3380CC4-5D6E-409C-BE32-E72D297353CC}">
                <c16:uniqueId val="{00000005-210E-4B87-B1F5-DF04F75EAE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Sheet1!$V$25:$V$28</c:f>
              <c:strCache>
                <c:ptCount val="3"/>
                <c:pt idx="0">
                  <c:v>In-store</c:v>
                </c:pt>
                <c:pt idx="1">
                  <c:v>Outlet</c:v>
                </c:pt>
                <c:pt idx="2">
                  <c:v>Online</c:v>
                </c:pt>
              </c:strCache>
            </c:strRef>
          </c:cat>
          <c:val>
            <c:numRef>
              <c:f>Sheet1!$W$25:$W$28</c:f>
              <c:numCache>
                <c:formatCode>[&gt;=1000000000]"$"0.00,,,"B";[&gt;=1000000]"$"0.00,,"M";"$"0.00,"K"</c:formatCode>
                <c:ptCount val="3"/>
                <c:pt idx="0">
                  <c:v>127591287.5</c:v>
                </c:pt>
                <c:pt idx="1">
                  <c:v>107988297.48000003</c:v>
                </c:pt>
                <c:pt idx="2">
                  <c:v>96555176.469999984</c:v>
                </c:pt>
              </c:numCache>
            </c:numRef>
          </c:val>
          <c:extLst>
            <c:ext xmlns:c16="http://schemas.microsoft.com/office/drawing/2014/chart" uri="{C3380CC4-5D6E-409C-BE32-E72D297353CC}">
              <c16:uniqueId val="{00000006-210E-4B87-B1F5-DF04F75EAEF1}"/>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plotArea>
      <cx:plotAreaRegion>
        <cx:series layoutId="regionMap" uniqueId="{65BF10B6-D6EC-4076-BFC9-016757385981}">
          <cx:tx>
            <cx:txData>
              <cx:f>_xlchart.v5.2</cx:f>
              <cx:v>Total Sale</cx:v>
            </cx:txData>
          </cx:tx>
          <cx:dataId val="0"/>
          <cx:layoutPr>
            <cx:geography cultureLanguage="en-US" cultureRegion="US" attribution="Powered by Bing">
              <cx:geoCache provider="{E9337A44-BEBE-4D9F-B70C-5C5E7DAFC167}">
                <cx:binary>1H1pc9tIsu1fcfjzhRq1AjUxfSMapKjNkm3Jdnf7C4KW1NhR2Ldf/06JlE2hOZYmWu9GUDPRCoss
IqtOZebJpYr/vh3+dZver6s3Q5bm9b9uh1/fhk1T/OuXX+rb8D5b10dZdFvpWv/VHN3q7Bf911/R
7f0vd9W6j/LgF2oT/sttuK6a++Ht//4bnxbc63f6dt1EOv/Y3lfj9X3dpk39k9f2vvRmfZdF+TKq
myq6bcivb7/cV5nOm7dv7vMmasZPY3H/69snb3r75pf5R/3tsW9SSNa0dxjL+ZHtCIr/sbdvUp0H
279bDj2SkkolXaYefsTjQ6/WGQa+QJIHOdZ3d9V9XWMmD793Bj4RG3//9PbNrW7zxqxWgIX79e3n
PGru797cNOvmvn77Jqr1YvOGhTayf755mOwvT9f7f/89+wOmP/vLDiTztXrupb8h8vu6DrEHGp0/
rs8rgOIccUKYcFxns/bOU2wItY+EkNy1ObHND3l89gabl8m0H57dsTOEfv/tIBFarNPoL13l0fpx
lf45Qsw5ooJLqYh6AMAgsKs9hKgjSRzqEE42ED4+e4PQy2Taj9Du2BlCi8NE6NN9nsNG3N8/LtIr
ACSOXE6Vsl13AxB9CpArjxhn1GD0HcCNTd0A9CKR9uOzM3QGz6erg1Sg99V98KrmjR0p5kpXMrnR
DfUUm415c4ktOAzfLirPS7IfksdxMzzeXx8kHlf3/Zs/dZU8rs0/1xZOgYiinLGtNszJgDiSeEVI
wjeIycdnb7TlJRLtR+bHyBk2V38eJDZnaRrlOgJbeTWGZh8RyomjHokY1n7X1bjqiHDoknDFd23a
1ZmXSLQfmx8jZ9icvTtIbFaprqK7V2QB1D0SSggitz5ezQyZS4+46zBOXbZxMlCrXWheINB+ZL4P
nAGzOkxg3uk2qqN1/orQMPtIwYPY8js2T7VGkSNXEZdS195oDX8KzYtE2g/OztAZPO8OlZ4N61c0
aIwccclc7pJN8DLnzkodMTgi5Tjgb+bHfQrNp/tnxNkPy3bYDJJPfxykKbtcV2O6zu8eV+afUwDm
HilBHSZmNsyRR45NKOjB1vXPbNhLJNkPyI+RM0wulweJyZWumvDNYl1pUIDXNGXiSDDFHMG2pmqW
DXBAAFwBQi3lxsvMydmL5dqP03xeM7SuFgeM1nKd6OYVseLI3MC42S7ZZs1m2gSLB+OnGKWPlOFR
g7dE+gGr56X6GVKPo+c4HaZWLTRY2/pOP67T61g65Qph8x+h/y6hRtx5hMjTZXJm6l4iyn5gfoyc
gbJ4f5DKc6Pb/z+mDpkBG56GPlIDILALjWuDtXFoF/JrDz8zU/dyufbjNB8/Q+vmME3db1WyzutX
pXAcOCjXZmQbc4Ki7eKkEPgwRYQQ2+zbrHjwEon2I/Rj5Ayb3w41l9OtXzMkZSDPqAzw72Rhhgwh
8kgKsAVnmxglj4b1MZPznDz7cbm634yboXL15SDt2+m6X0fR48r8c5fzUA2wXcdms+QNVOQIrNt4
Iv5A3mZwPC/Ifjgex83gOD07SDg+oD5Qj2m3ftUaDjfOBCWcrYl6qKLtGjHHOXKZ6yIO3fLuWRz6
Uqn2I/R09AynD78dJE5foiqIXhUj1NkEoa5iclsJnZkzxz0yAAplb1+fUbaXSLQfnx8jZ9h8OUxs
lvcpjFr1miU2dWTDpkmKnMHm5ykJcARCHVdyRsAVzM+MBLxEov3Y/Bg5w2Z5fJB6Y4ogl/dDdPua
UQ4/Ao1mKEBvswIzKk1seURs1BTAph8d3SMFeIk0+5HZnckMm6vLg8Tm7G4dviIs6LdhLqwVKjob
pZgZNEI4+BmyPTBqT2F5VpD9iGyHzcA4O8xkwMm9hodZPy7MPydmDF1O3KUuV/tz0S5DPoczBzHn
3grOCwTaD8v3gTNgTg7Tu/yWrr+ts9cFxpGSU0pn2U40brjcNoXqbXUAGbbdmtoLJNmPyPeBM0R+
O8ya2mV0G0bB+jW70hD0O9xRjrvfdLniyEGKGkRsf3LmJRLth+bHyBk2l4cZz/w+arR1Bo8b95+b
MdO/oZSklG2iSHvW7URs8GhBkBawt7HM47M3Lv8FAu1H5vvAGTC//3mQzv73qL7VeR29rtZI1AIE
k9uVh73ajTLRvuGg2Cng8/d6mBeJ9B/A+TGbOTyHqTfvw+g1qRhKMci/ELUT3z9BhqLyCSbGuLMX
meek2Q/KZtQMj/enB6kuhu2frrMCHdCvGVhydiRd9JopBnNlfmahi0OOhIO4U9nb5ltYu10K8GKx
9iM0Gz6D6uowobrAArW3yfi4Uv/c55jUDHWoK8WPNo0n6iOOqOs4DiNbwzaLZ14i0X6AfoycYXNx
mF7ntyqa9Kt2DPAjNGygt+mxXXPGoVE+w+EOLpQUm+TALAPwAoH2I/N94AyY374epH27xFGbV+1K
Q3sAQhfjcrY8bWbZiI1jAxwZT8n4o6ZuGNoLRNkPyfeBM0guPx0mJFFdm/8XRfS4QK9gyuDpKVKZ
3zto1d84GjSFomFg2zEwKztfvkyo/wDQ7uA5SDcHCRJC6Tp5xWSA5Ghx5qBhdMuhoRy7roYIekTR
II329JmTeV6S/aA8jpvh8dvFQeKx0Dhfc9tEt23zekrDDQsTRMCebVganMguKDhA6DCk1gidYfJC
afYD82TwDJ3FgZq0dV2vb8O2vm+a+hXxoUc43MQQwvwoXz7BBxzAFnBHLtjBLn2+fKk8+xGaDZ9h
dPnbQWrQ7/d18+ZHSXCzXK/geFC+5BTnPNFg+/AzI2rod5Ko4aBIs01Pgy/sQvVisfZDNRs+g+r3
w+zdeJ+kqNi8ai4aPRouQ1/n1tD9rWEdkRAqabbtbIvQoA+7KL1Eov0A/Rg5w+b9YTqii9fuQ3Nx
wIbjnAB6NB5+Zj5Iuai22QSNatsS9czUPS/Pflwex81QuThMumYSHuf3VX0/Pu7bf27Z0FyDFmgb
ec+t5ZplpB2UOcG3cXPCxvApULpdnXmZTPvR2R07Q+jq/CDdz+dmHT6uzz/HxvQIghggg7Y1aDNs
HtIDDs5GUTkLdJ6TYz8em1EzJD4fKFlDtKbb6jWDT9go6aBRdnuXw7x2Y3ppkUVzyOORgRmdNsHn
cxLtx+XHyBk2l4fZlX65jvL711MTLnBFgEmT7TiPXQIt1RHF0U9uO9uTUTMT9qw4/wGVzSzmkBwf
pOE6y+9e+VynOjLlZe4+dpaDEe+CgvYAhJyuLdXWts1AeYFA+2H5PnAGzNlh3umwOenweFToteIZ
dDdxZrIwj0x4Fs+Y40+U2ei2kTNcXirPfnCejp4hdLM8SNW5DnHJ0Zuz+nWPeSJrI6mLevO2J9Mc
rt3VH1NbIzgaYKoDDz+ziPOlUu3H6enoGU7XZweJ05nuXzHViU4O+BMpHL6/QqAYYk0cayfb8wL2
jKE9J81+XDajZnicHWaq5jIylwm97qlOc1mQIjjStO0CnIeZyE/jeg4bJbdH+rGt2rxElv2Q7Exj
hsvlYXqcq/tv1euWBUwGGjdsmUhmE/3P4hhcJIArIBx0RW25wExXXiLRfnB+jJxhc3UYNO32p/fs
7bKBJ+/8L+8WRJyJ/DJMGZLQDz8zrgZ8kJvBMdvHqwVmnGB2/d9/Fms/SLPhT2byf3S34H++d/D7
nYzLdbM+frjMcefqwZ+/+jBd3DA5G7rNn2zyA09m+2iUzu5+fUs5Vvn7FZHmI57kXWaLtlnz7+Pu
13Xz61tLyiPlMAYvBfRgF40T6pEh//UtKg7mwA4OFaB5BxfkuaAXuTnT/utbMAuGY9WAe1sTqs0h
YgzBxROMoiauCJRZ4c6871doftDpiJvHvq/G9t9v8jb7oKO8qX99y7Cnis3bjJTmibg+TCFrTh2c
s0f9Ca/frq/Rbol3k/9JSVzlpE/EvUv8plXHtOCFlS7sooumL0K0RbLmViXqVV6O9ciXDR1EOCws
7dvfgrziubXQdEiccxWKsV0mysrL015laX2ZiqywRk8ngyi+iaSJB73EWqUxWwSOw8m9M+ixvU7D
wUnXrisK/5ZlrJRXgYzKgnkZiWqIwgtRZe9DYjd9vgxSUSWFp3uRZe+IM5YQOcgyMl7QjOXxX1bd
aYzZgXTPIoGFP1kj5OUoVzgmao6/YbmwI3bXyCFZ1IYydO/9XudxedpkPOWnKe/qyjmd6qCJ+sUU
FbhWMbX9iPqrnz+ewC4/fb7JZzBcN4bjJ2Ayyry+g9EUM7eWtozuYpKwJFo0mgkWekpRq4xX1dAH
VbOswibgoWdxayryDz1nY00XhE+yZ+eNDPM68bQuWUWuQHZLvPZzIbGFd2XEUU3GcK0WTp6hicZs
y6cyDmFk0bBi1p20qs6my2ByAqdcpS5vmO3lVSPl10TYfgNW+13dnsfGPJcrpLSRm6PgFPPnFu2o
HW0x9y4Yseek19lFWv8Rcp/mgdfHURu9z31cXtt4YaiRwfN+/nj1t2k7uJgHRyIUF8gAOmZZdqAJ
RBdZ9hCyO8tJnZItRG9LsYYiWc2ZniInvYososklS8qxvUlq255CD/2BKRblv5UEDRkSVBg3NJk7
AeynkoRO6KfxaFd3XPZQudVI5ESSlaj6tubHketz+bVqsQSlV0tQhK/aHrtKHXeRtov+GVSQY3u6
GwTFOREcZzd9ILgrd7YbGhnZ8Zjk/q2vplxUJ7osMn88tvysVuPJ6FYDtsjP509mlswxpxpxRaVR
VBwZQh3j6QIEaoqFKhrrG7ovncw6HZrQKEQ26BAX5bZ9zCe+iLJ6pIU3KMqwECKyw/YmK2Q8LnKL
VPmNysKsypel0BW9zroor7/9XExjT3fsrYN7am3EKmhaQjMAtGVmS9redyu7nIZvQ9VU2AR2m9jA
xx56JixvqFhn3RQ0KY3SNL02v6IiaJ/B52+LhXPtCJsY8j4uZxym7eliuSWtm7GW+lueCgs2PIb1
mnqvG+1mFBfMF7D7ddDipoQsFjksalVkFRGnrhVbXeKVIaytsfxjiFF5NKXdBR+SQmfPmBUyVzDc
XIF0L0XxgwJhKWf+aWB9Xqh8Yt9qn0orO46bukjbD+XUREW+6MuxhHCWk3V4TY9lpselm0yjddMX
hX9WqyqNg0U2TfZ4kYVl3vhermzpN4tW2FZ6LTMVTNmCMjXAJFIrHkl+bk8qxacmkd+X5TNqShD7
PNkAuEMVx6iVtHFhMU6uiZnFwM7Myy7viq+O0CIWi8JG2af0fL9VqlqQybFg2v1xYz3TluO19sGc
FMR38dLQN0yWq7Znz+sQn1txNNKBjAhFCMUFSX/bFsmQ1Jkf6uJrUUGLymNWJy6/pCRk4wWr2xHL
ofwunb5k4TCOjteGVV+GCxj8Xl4H5eRbp1XG4+lLZbW1vHIjaQjCwLssVSdJKww8umYKW2jsHNFd
F1WcTF+mVCZ94tlpapxWhNUHQDpXIf7IRrSDfnGzYQB2TMQjftWTHTTushA1q1fSaQ12yRBEIBjl
w+OVG1hj77l6iPERGuQBkkdWbrhBU4gsWQ+1zMtipbqKdDec6al5V1WJX3lpmlU0W1iBnw2nAYdz
/TN3c59/6eyOYJM5bgCe0ZW5BkX5uW2YW02svoOiODg+dyQqgbOtwfwxD4gq0q8Tyeoq8AZqO0Xt
9TrW6Rlryx6G4udPnFsjXKXAbUrgt3HuVf3tiXVl12Gfsf5PNrVmM/YtN+aP1k4C5y27Usivfswm
bMKetk0dXDowLNinPxfDtDg9UQqGw2vUga9AhZNysOSn5mhiXVtaSmZfMp5nDfMa3QrrXpdhCWsU
JnVOjivf0dGHrnYDWJwiFDo4DtyGdtpDV3Wfdl5Dg/Ii9V15M7AqdUev7onsrhvXsqNFKaZBX2AT
2aEX29yPCo/7khhlD23sQ92FYBdnfpw0RvM7VDnem8N2xeixpGJDd/LzGc/tmos+ItsUDOnDxUmI
CZ7OOJF+mPdl7Xzu2twGiRVVRUFiu8nsWw6SxU9D0g/YtkOiGH4FzQOztWRhtjRr4576N/4gzZam
ZTRl1WlUUGZMZDnVNlmVaVfU0ckkxgRa5/eZ4dRkdDNop0NKqNHPp0Rnls0FA3LhNmHVgCBuJJqZ
6pLl2aTjnH52m5BBt5oiMAI0FmuN6j7oMRpGR8jmh4NRcdhKY1KqooSjsUICGk8GYf6kywQtk6mK
HX4a9alZh3LstbzyywHvikJmpjgGmaxXieVUbFW4VcfqxQh/gek+M7VZBICpKYJ7SVFTxDljDr73
FK1mSIiTtnr8zILOWKqmKrG1pnSK9G1juwnNvbHR5fTFobnxj5mlCQAZZJYG4/GUSdIEK8Wstv8M
llphOXonZth9rJtgTfLIUthivE8LY91amM3TiBY9zFoDRoIHRo1v41+IsQiWIgs4lqJpnNBqFiJt
Y6hEqGiMf23Wx5hC03H6M6Y901EXdAHsyqHCRdhp/43qkn7icpSl9anLHA3rsKG3NHSHLlkgsgyD
/DmzMHNH5pEcyShqwy0hxT4PvOxYg7UWg/Opbgl2SDOiIzA6ge/H+vC44Foc+72lh9qTKRux4Gnn
56AsMHpYpb4a0uaDI2vXj1d+w10YAyhkd10hww8PkFlQ/GbI4ai2sAVln2Mph9TNoSvQIgNHkAwG
CCuOCH6pMVbdta0zDUlEksA3JbIxcerPV5sr9tQmYvLGCcBI4Iw7WNA8sgEdrK3AHsZPYTjK1Pea
NmHFwu9tP76SdOLVeFyGlSxcT1Gq4tCrqjIqz+20ZYPwCrAd66IKMotf+lnosEXZ6yG4taPUPu39
lstl4uQ6veNxOlXXmZYZvr1jImn/nnfEHqalG+dKFIsS/LFuV30v3O6qKkN/0J7M7Iy8Y3ZF1DLP
K0UW8dC0le/pwS2n2AvzruLDIhiSDsrQTVU/pt5giZjHK0VJy29k2ow8WNgDafv2pFB9SHzwNz9o
zprQATNbOFPaTxPCWmzF4mxIRr/1yrqI5apTTsCWIrOG6VMvNY2+tDwN/CXjDSWLEfGpHj0ZNLVa
qoj2ySIQaXCK3s9mWWq7ny58ldv2CelJSFeBVbuhfVwkOuOfR9EFifVZaXsYPg3NwJpLq25y6xoe
w2nvRCVl9XlyuiDXXqE1CeuPapjS5MSPkN1YTZq7mfZUohkNF0411aX7jWSxm9+FtNDdsMRWGct7
1TZ9by+StK9JfNr4eSncJeIAkcoTP7MSeaWIYyXJSScLWqfhfejmrMEqD4S5Fb+cmO6wpSdS1UX4
EScpG2kf5zkvCuesVX4Upu9yMSRlcBx3QdN373rhB1G08nnWt+Lazykrz2TMw8BdYa9IlnhFN9lw
62ntRr3yAovLslmGfjXF41kf1FYYnfRRBm+zSFTPYWC7ImrFH9pqpajPsDl6y1/0DLSFXLUFWJfy
mpG5g3yfUsfBr2bzRyuKUryGc4Qcj5t0zctvU1sq2p3HsioCekoGy3KcxRiLpHVOhjwmWeoJ3hm/
aAsrwnQCJuBU1oM/4hDpIhahEsH7sS/6wvkQ+1bcpysnYRYtzpJ2VG73XsZMRMorlTI5CadqRJh8
cQLft6YLztMaK2WNJUz2Jax2GYoLi/mVk74jURmR9EMc97HrH/cxDEFwrCN0clULmCwj0thZqU2P
7SAco3JpF0lcucu8sS2R/0EDmuN5WZwq9bkN3LJcVAi9sbLUbSN4kAWRofkQyA/K4pWlMpyehzVm
vyhCkjO5isPerBhLmwS/dB021k2eOcbk864JXGeh+kZjA0w5+MZJo6oM7ys2Uw0bMWH5yhgHzxz4
ktrH09KQIMjMSWTgIQUPqfidpINZ55yrGLkkq7UqQGHliRvy+7JEQFOuqigC01r0LhmdchG5oWgt
IMjbsv3SxHkb5VgvK5z0SdhOnAyXbuwYkSMgXUw3EjsLT2B4qfzmW4PZYLKyDPJitPC3VGVmabqO
4K1wsW7ZQ4YOx48xx+18qoqx8hsSbiH+JoZCy5tEcF+xBe8VEkBe4YQEa7HdPf5UK3ykE1tmcn4z
PixGi11TLbYcV4lJmH+xWiSXzI4q62a71Nbm7Y+LvHkfMgU0uXRokUEAklth9y2JZBFVJ1HORky6
pBO+NMkLKAsi+wYBeKCVJzZA6alrsNUQebdVcJYTNfrCI0nYjfK9ylqNVepoluIttECOrVogzeF3
ykvs0ZDeIMPRQuioE9jlN7VZQV1Ag2DXNnMKaYQYbVHoXPbkdGxdE53bG2g320P6SYr1kTzCiGPh
pGbygxxD7NOAVOYxIQ8l/jjq0nbCz5MV8bY5x0yZWd7NRprasYWUmKT5FBJVNcahssGwu+omNKJv
FtSa+gn/0CnT3Dm2bJEn8dmEDu+hOAlsJJHs4z5qNXRaxYHJfNQ98I06h5bfiAxybJ9agLFi8lUH
svu+Ri7bfCDtzC/eBS5+pblt1CGbhJE/b2UQ9p/bNEiDaJUHLj43LBkJ2GlSjw5pLthmr0RxrRrn
ZLvkKu4qiDNELMGHwANoPDwuogR+viPlJO3PYG6x2y2L0mryaGHXgY+HizjEl+ksm7RAbjNFwgAp
G8AUtmeODow6t/Cv+FsytjJ2VwnI4jCeM1Wngz5tuLazbJEqnmad59cB0oZEkRbvD5uyxi+QRpFe
ZWWL/45Zj7ydsHuCVFGJXH561SWNj6RAX8V4OgkD3X2RuT8gCvDHyez9XsGUx6uBlRQWxq3CtHWP
0wwuNjserNxX9ZlQcFXDn7YcYtibINU6SU636eS4ScMqXrVhinj3duQ1vhPjtIhDLMcJe9CZUrsp
Fqz2+8SfvrDQ1X3zuWR92MvTZjP1QQU1logVw5RgRknQ1+JYTjaBlWsqbpaPDIXZNchXmS2+yZ+6
ddJjBUhLzXybKKL4VWGD4/1lhOyj5UXphLwyLkhNcuUhZTHK7JIVpMI75EhMDNuJtsa+2iRZJiLS
yl+1eVn59CzwywmfMW1Sbz7CcmQNS8ETpCh9kiD0zTLETvmiSZGYEBdZIo0+NbyPkIQPEreBqWTS
H+Hz6hGWJl4hsjWL10bMpApo6ybIxcdpHmA4bijHLP/sQc9867z366qKrhSLTZJSt3B3l07iM9l8
5Ehjjf7x4MfWGK5kX4i0XiJ1gSYhz0ESSH7lASMIyeEMFcCfLD5hVjLPjNvIhG+2W0Urgs23Wcm4
0chEs8iOWHfeTyLznY/J1PbWTQUyjazCVJRKfoW9xf6y+mLCCsTcNnPwi9yC8Ud4abJUaQS+Cmat
Mt0XX6Uaw5J840Mq0yspy2L0V5zqurH+6iMSD/4xPBpLhVenyH9bCzclTvUFGck+aT7ZQRkHwcIX
IwuH694BtynvVBd1Jf2z9l2kJk6qpO0ytbDoVCdfJt5Srr0W3mFAsE+IBqd0HKFa0mKXZ7Giiw5/
tJzOc3pUpobldiYbLMsiRoJ4gbs+RzOtB3OTpp2xf2oMjDUB+zfKG9WZeUf+kL33Y2r+Joht4R1j
MJo3+gzZiewYkbupbUSpX0CVA7BF/2pqRlIcx1BUo5UqM69styw4JSyRQi8YXtqk4I05tYJFNYwV
czxCK9v90IZO0Guvt3Mk7Pk4+Yqe9WVutDywJpMOrFEnwi8OWtaclZON/c1t1B+ukLc0kicRKo1f
tw8SlYJLK7FVrJtNxJZH8eQkXpwXLf+YbAxWskk0lugPwG6w0tIkIetKVpwvsyArte+FpWytmzYS
Bebc9KjidecRDQyNC/mAZzhdasRqHxTO0gn8iOeL1ih5QU2ZcZn3g9mTjj/RJPJEWOdZdhzGKbRx
tVkQ5IGN0Uvw/S34XF4TK74IKUsd95nE1yygRy4H9gE7mMK4SfK3tHLYoIaAfDW9CbWWkNoJggHa
0GuY2dLiRoPSDomX0Oui0sj+THT3NLYzj0enLA7IbL4OZZ5+r9pBW33tIFW1MY0xcsCQAnEANOnn
jyImk7RTcYA62egnwMOQs8J/pYnrd0pUvZuUrg8uud0kW48RbxDH9UVmfysZGljbKAbGmlccoE3J
NPEbK2uG6hmRnmYS0FyCbeTiJKQrURXHdqdPJfI7RpHFjYMbnPuGNYsEMbS8rvHdMMeTBoN+brn/
/kCcF0P+QLqKIseoZunFJKxskma2f10OOfxFkMDxnzljAmu3VfD/as3NDM0tKAJN6C5F69k8nzmk
MQ/yJpXXW8PRh5PJ3Y+SjUKsBl673Sou/Kn62PZsjJdZmxuzzipYCKueONzSMxI93fCQCBGV+QYX
5iiBe43m1bFR2VbvjKy8Tje61YPeQdWHNvFh3iO3iwBByNsRCqoYfAQYhhUaQeKCle206EoE+CuR
MS1sb4CFGRew+CXeDjXxyVU0MoSVi35T1io21vbnk5jDCOBwlZmNBnNkZgmu0ny6b+B+y4YOVncV
1okxUNMDHypqkbcfR8ttOa4me3nGS6AOgrZOe3udjfm6iKfPcwaQEnwhTnu19X5DEJaxZ2sYWO1V
Na4T+++eh8y/6SWFYuBwHH/o+d3VVNb7SEh3UXy18U7gygYNJ0mhF3ldGr/x8weaKt8P04A0LQ5K
YqOa3hQUjPHvpxPsx2mIqkkkp05uVYlYOFnmsK+ygsI8p4J/fxSgc1HIw9cMItacW7zMp9nYBjI4
3TCSTiBJgn1Eywy/fj6rbUfGzsSQMsSjFPpkbNxF6OK7855OzLZRnnGisD6pJmqH9TEVg2lKaHFl
Qav/qqccpfSFrgOkWJWX+ROCRq8RQUOyCzhtdOIEC50USAC9oxwpCPtD5osg0KcjKILQV/4QJWQY
Fz5F5enPuiwzRENVTHleHmdpO9FmYWtb1tnSrQQybu/YQDSTH9SmrJdIxCTsvZ9npBwukyDsFDpn
2k5GBKmRGB0bp4g3nChbplZcAIotT3EsDAu9ZMMuQNRd+Az5YMY2EUfS27DffZhR2G9EiIYN9B21
wGs1dREu5LTFG8C0ZOtcsTo1nM7aUJwCNVJou124ZIq8pG4yMnl5Xak8WsrCSePWe8x8lPCeobfl
Mw9ECgW2Hus7la7x5U7ZIcGEECOR9LhwNR6ZJQguunMbRYsoWKRDhjsrTpDWT+P0MwP7VexKjo3i
xVksbcvkBOquQrp13IRjqh9rVi7DpM2QfUUixkGxwYvDxtX+wmp10NuZV+J2akE/qFIVTn8clFDu
8pMYVTfpTyg7mMIWqKBN5ZVuatQSPkUFks7BEr1I6CpYhVVJSLzICLjnXyMi0No9F3Lo6VcihrFx
r5A984uPuVJxQo/jvLZsBMToPR6aBTq6UFI/zvUIbJf9QKdq9GwLCYpuAYZGhLsY+ej37xJVN/Xk
oSrdRwiqlVuhPBqFdn3C7bTpv0k7S8Zw6XPw7tzLnDyr/siRgLFaz91U3ra2qERZPJDv3Ax2O17l
YSppCzL9QLeQ/zZ0ccwb43Q2WyN9IIW5kyaI3CqFxpjC6ypbZgSWLNAOxKBJQr0+sTr1CUZcuzdF
rqx0lUUiEF4YBP2NGCMRL8eo908i3rHTyGbTWVYN3SkSGvraqSRdDEqEV07UpDZSx131ycemPuWB
0LUH7Qu/xVWR/hHYkV7mrW3nnh9WfIWYF5klmosLt7C/6gTqmPeFfCf7qFg6PAyBrm1Vq9gZ+HGs
o/b9FKeNfQxy3hy7o81S7FiZ3YZFe0MJLy4qbgUXWVc3x6JGJhotMMFpp1u1DFXvfnSKsER5v4ju
orr0l2lYBN7I83wpfFWeuxPNVqOfoxicF4Ljo90xX/A4d1Y9PvLMRVj2rRp0e4L2B/+uVEl6kgwk
nbxRxWIVxra+KThS9F6KTE3tWUwHn/thcteplQtE9G32qXdpdGzTxj7ntgojT1sWe8eRrVtVTY1+
7djxPyKHGKFtqWHqjqDig7CGFOS6o3EYrYoxt45JnTXXdceRd4ApWNbj0J6zuhoTT2S9u/Ad5Yfu
H1FH1XiGRoT2tqY8Jse6LRpEO1EWjl6H70m8dxvhZEvLt6rzTKErYclJE38cOpYgXMr0hagbUi58
N9RrO66LdwOu67moJTE71BemlBp0/fkAVntpO0l3hiS4dR4lLKRLF9bvjvQ9y71pckmI6Lmw/uyL
sr8vLWtY0IhM67qONUVjQYEuwmmqsXPDtEg9NE5V7bKY+mQ4l21QBp5NiuhqJA4MMSKrRdezlJ3j
a5/T4rwaympFi5ZeiDQbPCR8v/w/9s5sN24k29qv8r8AGxyCQwAH/wWHzFSm5qkk3QRky+YQJCMY
Axnk05+Vdp3ukru7Cn2uD9CohmFLzOQQsfda39qMl/Wrbxm7JgEen1lbU0Jh9Nu8dsOclvEqooqk
ZryWDVGvq3SoyXy43LXOLQcKwYu0rWOZezYi7zCoRR6F/bgX0Avy0B/MnQtGfqeb1fCCG1M/Tc06
vSgnhzCfnHUFC5Ts8g6fD8ZrBukND55rtoK4bLmloW76Ytzm7r0b5JbD6xme8arMKZdyDu4ovIQL
GaqssMpnR9KO5F1nibvsIPvPcB+IxUGZyZn1JjSmtr5MMk+0eR9w+q48tARlhvqsy+NOT7fJkvAd
FvokKWi7pQcTiOYWuA4Qj6VRT6EY5X62Lth3ck7eVcSeFrTLT9s0bNl+kmTNu2mov604IfvGpNZW
KAPXB6NozHJFJhi3vDa538zzRUK53E+oQ4O8TjV9oqOhXyIno8dOMfFl3ubtm8UNXs6pCK8I+IK9
j52inNxkHlBfenm8jPOlpzR/23wx7qM+YAC0oCpfN6tPsJc5rEh+12aQhWKeHFL4M4XUY7fnsVVP
QLwifP45PAb+GO26JNKvkOemWzo26hCsPX0YBrWdat1NlUux5KIbHtrrkfjmqCxZbkfN1KPKMvI1
4jMWh3Ba52uyDnh4IG3dBJGxJ6fS5aJdXCQg32TjniUDKdElA7SE+kEvNk+xS4bl7W4Ls+Ypg4Ly
Om2ZecSGXx/wsKVXW+AZoExJu+spiy9hdAdRYQbal9m2jhHudzXuttoTtxxK/G3thJwKACL+Ti3d
9CqNJTV67G27VJTYE3glDpFgEI91tNEBa/bgqijl2SGA9VfMciM32VxHEOiV9+GxECja5RqTraXF
OjjUumVqoWxnlzyO5tRUPt6q25u8p5JdLp6sbyG29NceWcfn3qh3/EwNvbcNnvWACqazaXftaAcK
M5ZBe6RChm/WY3Yp+mbxr0D82Kc2nOdp34R9RAraBOmJMKGyHfWHkR6HJpMl7Fyy5TNs7zKj25Dm
3WbonA8RG6+FB9v/tHpTinOd+ItRlxOd4fcETgXLxUim4SZyxLtLR9rKInGqEVVDpbrv6nYeKji/
a3MaWi7a0lNjDBaRscDbp7PW2/2ajco2+3Pp4Zd0cnjVFsdZE0vNjxytueqLIEXlUsSDZfMVRJNO
F5EN6scl3cRaCL9PLkHtsaBcApSIJ4N23DzHLbo/hXVESRMnKJzqEXTRYTZJeoxD54/d4xatLJzz
1U0+tccQi51/kREYA/upX0dVNrOO7QP1at4BxKl7qnLlsbrnhUeoe2gjwDN52JD+TqyBt+2XBF1l
4adT6F8utHNjESrI+Vdpj+W0BCe3lQIC17ELTVvgpd/8aLzV6e6mX72EbhFO/+i7oYRcM/AzrCXD
eLgxhnSZKdekS/oQOrsWeB4yuJyFDdZwqEhg++aSNzBp82GE2ltsxk1jHg0r/J/UdvwwtiQWVQ2/
8Iq3UEvLzrXuENUkyMok85sUylinggteKwlX0sbpmocLTPDEhObai6lLi6FjROcp4REUOUh3z4H0
1MdMUZpESq7hXggWRFU9N6ENC5RwjScKWPQg0pY8bZL71SMiRWFms7XtC6ykBv9A+F6LVw5gEZqy
pGpkL/O4ngJHKz6kQdpUMnQijq8Cb07sEzzdgR26KSPv9Ty/bVtTP9WNfKupjLscbcLwsADxqFjG
1N7H5uFjkUgUXLB0O/Vr2F+rqLW7uVG0kJPcZJ6C1pT5MMTDgxr7pFQqWXObtQTr62yGr6Zm2y4V
Pdy82rErGI2ZXwROL1O5YbMht1Q30UMKjkiV7QzFB/cDbpgcWNzyEQjJ7+Q06qzSaVpfajGKBztp
U1fW1TO7gHhcp7k3OHoxiG4qw3Hqd3xi8cPI/aCiphEnzmLvKuSOnEIJ71LUGh42RVtUhiHDy2hs
avebC8M+91NswqVP50lXMkjENTDCxVxItbCc6sV3xcTrriCJnmVOg4EBJQUXaS90gi9XrdC6HzaG
lxMz2N/TvoPNVio8lEu+rVxdY5fH5t8mvC/bDvUFPgK7x67T7mxKk8KOsnnu2jp4gwDndmB36F74
dNilMu1uvc5XxTwkzYs/Dk99ByCsRuO2S0PWvYolNCKPIyFeI5+pow0j5nKmXJcVLRSzI5MhvnTt
Q+hu3Vyg2Y1uOrQlx3kJ2q+8idI3zurghQfRcjnDwC1jOYmLCMrxMzT4kJ/XNCfzqPOnq4SxCHUr
FsfzTUi+En5uhtdxOO/aLtRfxJx5bdUnLfxQaMoiuRjjsRWFVq0zsJw2Ac0wXbqgiHqsI3nitV18
1UsdfmmaxvA87PEZ8q5Pm6zg+L0F5C/cE80q44shsWFamgY8p0KtxevjIIX5TaJrawouo8h/w8a7
qJx62TIfPMOT0sjOO7RTHD6d8YFdsM3c5u3qyZs4dt0XO2cS2wM6z52wDFCUYHF0CQdPneQKtiRX
NUqaS6et/MJD49pCQ2uc83bu3VdjVjwreCjRp1kJLfNjhnk15zDm5mrs5ugIrboGOdW6DcU86NFv
SCDObDekjTmRFf1b7qEcMWXPJi+uvGkA+utvc/xsdN+/pnJ2BdeRLnvfm/xru6TBA0y2jAIOQg2X
J2Zp+v2CouqI1W9cKjc1TYdSjqL0BMzhieuoWQKvsOwM5K2DH8tKyRlBA4ApuIkK0gxNR/i8q+cE
jsrAi46jSFPVuY2dC7ZObYiaOhrZ9jJqO/KbUASLLtFVMI4ljSZik4UKbN2ve88Pu5HcJDZiWc6D
qY3ee9Cj3ljMXuY6toNvxp1/xRuRCFqg23ZE5nZrBm2LFBtuvJYNbKyszy2gbrKW47yygZ/WjIWR
X2jraCBv+xnqUJQ70N7U7pSVU/tS15yIulzwqMBNQSgnGlU+u0kkZlejVhsvbGO94buetJvjqgEG
NYxVPMFye2B+CAtmL8FLmbFUK/H87razkuM6EA/UlO0ANMMKmEG74+t/Gzya+jiPuhvXksrGxS8x
zKbm4adY68mz72B6epZGw4A5eUIQ++zgAxs42yF4Drf0oybMd8keePWG520KNG1frVwar8nHDEKX
h86WdUuCLQLLsXm2DQSF7NKgoHTXfkf9lRS21nbi+w0mF64WtrxOdF+izI7zUMa9set4iiy+3pa3
ArCFLsC+RAN7iEws26RKwKu20dG3dloFcKTWoMZB71BPOymzDuuxZ0TJASNdhWC6ULpLihVzpS2K
qIzsW5MO6yqhws5QUtsCZJXtF1LVoyNtX8kF4A2FdjCK7HJD6ZdVzOsTBjNsZlTaPCATJVW6bhHZ
w/4bnmVm+ycPkI3JQ4EMWk4snp0K0Mnw4Y8cVRYg+EbxSiSaNuWsgKu4fAsneJBbYtcfsP2RtvV8
C7F0PkAHbi+Fz6KCh4m96oJ1HSoZDWC2Zgo/WHr9Q0fdkl5MKOHSPBrlSnI3LnzcK+MDZnSZXEZk
dGb+ITefcSytZGB5gn3Uliba1nvdeotDgeD1FSpQdIisk3G8VwkxQ8mGzH3xNuZWmQf1MgX3GW95
XC7IFX9VeNeCynU3ozUYN29GN6K6oKlQTih9sE3M54/ac2fFBRV1OMLgaOod4loz83aDDTIwOuFE
x4L5RIiKrL4+BFqkr/3ck0AXKQtrUUBQbGN0qOmqr4cs8W0Z+rE1LyAgQE8AZQVsVwDtmGYUSEEI
vAji1nWNznvIyYQ6/MrBd3P5EvG0SnnSH71aCxDtNkbGAoidHEBwhKvVZTbGFM6UZ5o94gu4MKmr
vTwCYneYZD91hYVg9mUDt4B7g9E76/kC33OTuySQ7nbFxS4JZRmtOiAW3zwwTBAPO1lfeliG9Rua
y6W5S7tBnauuKGwPqGCSoyJp3H7BEhmt+2gm3b1YInYFWrL+qFWAM58tmwO1xiyUkW1rXS5bf3nK
XGxvF9U3+ApIs8EkTgeB1TQdkFngMb0PIB+mJe3EchFAtGjLBYjMb0tEECeMuSaHkXQdKEUVP0ys
FjsTjv5LonSQ0xQ4YqP6DaC+3tYcyaP1GtHKsC1Dq2dku/oRnDxtZzpf1IkCpKbHDVRozRaHj0v7
MyGBbriQY7qGOzhEsFvxts5Wl/UczVh6PcQe2tzIFJRhVOsJRcG46qvISntZh8GclX5cy3QHHkI+
Li41gI/NiG8JKCB9I6rJ6nxAAX4zeeeKV+N17mOOmnpt84QzCiqFT21TYkPvAGBBLrndBigA+ZZI
mVR8BmdXRv7QVtvk8DN1DKoO9MggyzmS3xfdjFXItCsWE6+vKVaL+eTMqGTZT3N2r2NlLA4XxxMa
ghYq0BCKq6hn4Slrep6CFmLrkKuA0ZPnNeGXtW/50XlS3wLZ6wqgYOE7wjF2hM+Q0rVoY92pIl1I
u5Z2WTud9yozrLJNm/VYf1XUn7ogXOOdSZb42WONdNdQrngEMUAMa97LIXhtKcCHfACPcS0AmvhV
usQrmgIaItwwMT8eqiHomkceO7UU2DdR1aE+L5tITdn5vCU3S7RAho5Cwa6zfoheJsAWdT7b/jXS
g3hRRoi8aUdojwArwUvVM275Xr3W3uLXqK2cV3ioPK6URcpHQ3d5G2vrXagOD3WpWp7eGGvE0cQT
Ih8q5ZfQBdKDx/zsGYpxm+I2qJMvMtyiyhFf389qDS84ximERTdny7la8wcQNCMknlTr7KCjZkzK
jXoonIaWuv0Yh3N/j9BsWyqIW6XCrU6KKYpthfIlOI2raIAILsFLw1b3QpkJcqmtjwRlzKsh69l3
0MV+SWJinjKU+/uAsOCLAIj+4uNH4txzOHEg/18QvcmuHLz+vZwNnrrMvoNTNrfS+ivLMyP8AM/B
dktrj6OiCciwx36gRrQZOiqzFIwKfvpymUL1Wwexo8wcGpUJ0eItd00gnr2sJw9dE5GhIFD1L6Qc
A1hhAC55FH1dLdR/VXEJPUh9wQbFh7mEFY4w0ws6WjHIe0W0IPGN6ZoJq7zG2ySBKKkJMWiwAm7t
hgleAwxHcUNWEDXrfgkR2QjLSPjONBe+bYZuuwDPvZon1rol/hqPRPBDJ7LBkIIR5RuvzOaYLAqL
FwfUAk8LmERHgzbxS/B3wYayMfPXtlA8Ub67sKuDipknoYt3hIxL9paMo8GiMkneux7rWNz4cYk6
D7hC6a1JXYNrIUCtQCWjjAdctSISjYcGNDuJQYQ2UnzzJ29NdQlDE7xepeWy8gaOZVtzQEOyZmeW
HPfgBBuk7urNn+7mKDNoYdrIJUo9i2xhc1fCiM3Q9yE51LruuuuEtqLUC94jGFS+jKyevli+zcGa
47fIdi0WQVCS5ZtssDIcGNKSHS2gWJ+/CUlqn/b7pnZzOv1mvXoL47xlGcffAYlPE3fyjEbDfOpW
zfqkcD7N0nn3F/bc55wIzD/kqDGRCjUmXOkk/jXmNProOTon6Ve/Q5jkd9c7THgM+0lFQw3oc8nm
cSj8gagwzVPVI4+U9/BRdGGi0aVP3Q+j688/12d3GR8LgxcSpFYxgxHmIbyiz55hG69IKNVt+sGF
PEechp/8x8BpjxvRE7DL/sKo/OzJn4+INDfOxjlCDMv3PGngj34vRMPM+IhNfBt+HnH+CddE8ahg
zeu0IRYs3Ow7D8mPtoNZ+fNS/D5G4fanI/pzHMBXIRGwqRvzyx///6MY8L//Ov/M3//Nj4kJ//gT
3ielhBbfzZ/+K7yi7TzFRf/6jz79Zhz99093HqXw6Q//NNXh38xtuP+mbW/+zV9+GurwadjIH4c6
4DpnONl/ZwH+aazDP71F6Dws4fef+n2ow/nFaj5gkiA+J2LgpING+DnUAczy3zBWAS9coVhJzlE+
/NXvUx3ObzQAnYULjr+BEX5+bwHs5PNgB4wyQggE86cRu8R0fXA7/8lgBxziD9Y+7mLwXef0CO5p
5JaSXwkUUClQJeImOdFaKIQyA3cbB6M6bOvKN1CXOv4LeOFfHRD2vk/xkiD/PFr+883M8a0lsGiE
h2PoyMG8IHpGrbtNetSr9aqD/wgi+vkFEWHG+YLPj+DZL3AG7RLA3cg3nlLRJO8dxQGirgseNSL5
+z9c+9+fkj8OyTg/+f+gCX4cCpca1zqOE7BUvz6nqlma2vKAnOC8x+9t2qlDbDDwAXtGHVybbaPP
Ke+Ca8Vid//nh/68KP08dIBMPwUXggzQr2vlMnFEsj1FTjrsyMWYAUjJES3IIBnUWCH//GC/ZpPP
Nw3uwIBi2YUfBXvj8zWE4K2H1LXkBKkJB0oleuUcKkDfFrNJuzofo042R8QoNQxtBVX6hQSib0rX
t17hhyP9jwic89fHqCKgcsDFUgTWf51OgvYNXUbNyClbEAwt6DC1ewgd+M//7lgBUvlRgFsYN84v
N1TdRX7frCtB0HlBiIV4+iM1g7u3XShf//xEn8/j5xsK8W9MYo5jQGKZH4efz3NrpPISYclpZs13
HWpa2XDw/uJq/vOtg4MkIQbF4P+xSv1yMf25g7kZ9uS0oV49dRnKkjxLpIeMOffav9jKfqUMf1wp
zJD58SoWnMJfd8+MRQGyq0F06sKWD2U045gB8+AF9UgpvWYTj9/BjOEhRVF8v8LVvoDuHP3VXIPP
tcXPG4Zg2fPPjyreP/LLJs4Q4WQs4eTkkA0+RnwMwLExml1KpOkKH5oc+FgeqiRfEWIIyh8Pb3yO
qWIFUYc/v8z/6grgbagY13S+0nBcP19m3tPEDVzi4UV24R7V0JIvoxUnIjF34z8/VJIAag1SbC3h
r3eUk5kSCijnqYVFco/wDx5Zr3dY6rMEV+LPD/Z5qcfyjfzk+Q3iBDvL+cW7v9y+sjGinybpHdmK
4EXuwdh6HaNevm5L5m5nNM7ZX9zLwecl+HxI5KQx7CU5T04gAAA/n0rJQT7Dp6JHqPLtHs2114NP
1u4+WTx332qG6xoh433bZF342NZ4pAZnxAlyqYSP2CbTYZuw/f1YQQzhkAtWKDkb8BNvC8o2EH91
kvDGwk9PeYyNP8VqihuR+pBQsTV+/swjRFrihogcde8POwx+2XaiTTzkbDRUcwQ/Vpiyfd8pMEyi
k2tS4fV7yZ1SXj8gwQQZP2cDw4UEe2Y+NuhsH2B0cOvSZsNzFWLyRVOeNa4ZfPqCji6oKXmfEMi9
75NJHfwOPwbEJ7qA6MFVqbswulhCGMcGzvspq0l0VKDNvHwFaXhbt72nKuhA9NlsjdcVDWVTAAks
xq9GMaqWcqBNwotetfAtaoQckn0/TjgGWstTAhDiFt6Z7yOXBtAHMLFELqIRuEMkCeQrBvWYbe+x
jSbHBS3eCe7ToEo09GNz5H1jPjhQcMj0YyiPmP203gOXdLdeaLwZ/Qyv27cAWumWp1uUcJjs6JCe
p17g3oM18c4hrQOtQEvxvgZUf2iwItih5zl+R4oj/Co3hsZiSqd7lZhhHy8IsYHvgMGA9Rcd00Jj
7DDBGgSPXjThIXXwwQnjXgFDGWeUtex5JWG7Z8i9fCgotiVUxODRAGavc7qw9F7rensO51h/SEpw
nYZkoc9wpvUHR1cT5glCnNWmYU4W2aros0XJnuSQZqILitwyFCSMH3ncDM4bsT5s1R+7HMjgbCc1
Es6wHBDGOQ+lMD0UyBR3NrJaYDOGcd3SY3MuTDwgUrf1NNBLdFfuHtH/xFUwPLykjMc+uEZEGHcN
B2X7niZIL+dr10lTzOLMOM0+S5OjPK+XHlpEvddknvp9CC9qKpDv4nDQDfbFRDR4/oRfr3UFQCS4
bryhx6WMBwPsSCC5V6YrwX5jOGN9DhsM9/LcefRZ+wy/NjM2K50XuVsZwOHKkWQ/TyyCzBrmBoJJ
VMio3q62tN9qiFND/D6LKX5PGkvDXCNw3JcIwqsHYA7hYduWOi3DOiFv4zyPj9nWrldofvsS7oQI
8s7rg2wXtL46tj2adngrOAziV1DTxk3Y0tcseeyR5UdWLslGnqeYMnKd+Zl/GgiGoUDjo/QsiUWF
iz1SrOO2PnKMUamsaKQ8Ip7XojJKOPp7X493RmqIfx2zwzcBYe57RjZxEYepvUY3bMdihXkDJI1j
ZSq2HgvX4kuFk+Ct8iXpudI7Ha/JV7elQYn08XgptK/q3RmvRVTUyrYMOlAxwNnENcyxYAFFpJu3
GkmxPBVGXq1Jk+yncWWnYDXptIdqlLzKdjC7dZTbW4J8yREaDrQ5t5DtbewnXsVxuBU6gBdYZiye
C86X8a1DQMXANmp0yWEF7c/FKGwqh/Fh8KcHr5pQA0KNAy83ZKE5L0yYrwOH4N5y7V1A8wTPqRq9
W2O7foOou1SN13p3KxXDS8tnUoBuMLkcz/4mpJA85eo9NQTPR7t5JZjhprCzCnZwJvGLMu+auMbH
8h8x6H5cRU1QJinChabgE0bwxTnytRkMaVx5uVyi0s0OYRSscTm2M/KyjOFABKxNSWzdXGRITxa9
0U0JesOrwkHYJ8kT6MRIne5szAEdNf7XPtXihfZtmLc0cDvtsQihPnwOaHXDHXaljePCb81lQiaM
JgHHVS1pHXaXIqXjrW8sTDZtcFN7CSqy9xUK37UXdngktEbHUAlpwu6UIO8F0ChyZiqw2hqI7TCo
C7HR4HH1N9yyPlwWjO6AYV9l1sU+gj6Ng8oMkh94TMr6rUBCTryygLhbsLVeka69OhhNsR9nNmaA
wxChOgnVn38bwmh6z1uDJQirMQozKbDaOvRR4PFQwiXzFjzOkpzxjiaeDsSRzh3igMtXKXHbFmAo
AHXyfuxfQzHVqOcau+RBJEKBZ77RcnhDODKT31c5k1zDzmFVnxoNM5cs34ZsmWoI/178G00YvVAN
1QfgOTUMOzALFiBb13yBuv8OAyiqYtKe02Irlo+XfkNA+aHdpIgOmDuRXc+qA8YCTbtqlmU6dF6y
7QDzyKeN1gCIIMAsT3Oshvuklt/DfntxIQluOJCSA9bVFANUqIIca2X4UWNq2MfWtstDDZ5B3uKJ
76pp5jUF5ZguAJOalq/5BEnqmMStFqXD1A5oywnW8YJbXS8Hgxj3iUxivQJhEd0noOyhbA3cBnmC
qwDwAXrCszfObqxcYPorpxS52TBF62YKiL0f2gxJcRHor4i995UwGH8laDKDJ5JbmMcsbBNYDFFb
ANSHtWE3RFWHqcdyAYys7IaMHNdl/sKktzwspuZ3gbX+FeSh+I0DBETirG/omWgN2nxao/qakrW9
Ui6Ojh5dgBI1c63fw3aRJwQCaDW2sT0hV+2xnBg9qH2AJW/noZidS2BjIUPIm6Vuh5Ro9JhwKRHb
jrYH2Tbs0l/tdmcaH3MR5np5hbQz2crXmrRHoD8uLjKQN0meMQSVrhPnL3JPG6sP6HK9yw5c1RNC
2SFSgGC/xxzeso98JW6e6wU7/PcAiMmVBTG5d9gIT2Onh76UtGE6FwHaiwaL255DMG8LicoC1t+c
znd1CHQ0HzuMOcN9CbuAOwwdQkAzvnRtiGU08ldqigma71KGg7IMGWOwigbmKgReOgVZlfUpwYIY
LN8EzFC2o9607WpZkwtCgIJHfbIdtE3bew3K/wmAlH7O+pVUM0KwxQbsKUf8iOTEb5ogd1uXIh+7
pG0RII3wAboU+5DBhL6CeXPbl6BNUFlv6FPGfkvhfQvW3oR+6p58tXhXAIWjOm+jKdplXgQ/b5Rj
vMN4oRhoSdhSvbe4d78zzNr8TWaR+YqJEOnHkmBQ386Hwa4L3SMbW2DQFDxUzBkT3zezTbAsmm21
h9TI75C461vdDVDqt1abY7S4BuSjGIHlu3aCK5cqdTbe1I3XL10VnqeslRi4QI/1tjoHNlSkTR5b
YrIThyOBUZXp/NIkqwCuUG/djZ+y1IcpPvY3I+3BHY4I+9w1XoSrhsFgATkMEqOA7LNrJsfIzw72
/7TQf/kCnH8Mqo0wXQbd1r/XQh/O8uT/+/zqgx9y6M8f/F0OpcnfCFTNs1T190m2v8uhCMD9DUEK
ROLi86TOT3Jo/DdopOfBnZgVjrnH6KD/oIYirYEZODDBIGCg4/sfyfd3xe7PxtzCW/jcjKFfhQTi
QwhJIG/5aJM/N2MUhRksa4zEISSY77KYDBVG6ICC6jdepRJ2O0ih8B6P7bzPBAElMa/0Arp9U9Zc
LI8IdgxQhjAZDqOzsgNvffQMrOvGYhRIjaTJ2FTc1Pe1jA6EG4T5CXBR+EnPi+W3S0hMzpc6wzKG
1ihIOoANmtCcDiMaWcJhVk6kDx/MCOtZyjAttqgersky68cxogjjoiwqMTei//ABs69Z9AQ45Xsk
DQgBZlFRrea+E0m8n5aYALns7HCPoK89CplNpzVtwEO4acBMmWhrS0TS3eW6JOnFABi+6oDYHoli
dGe0jQAtiS0pa5zOa5V4IWAFZFfKGXG44Vz8YQVY/XE9bL7yYUKd0et4ii99lR36PryXfgD0A+Nq
rgYOe5MBI+0ctXkNRabizXnzRCB1Z3zsmrhhRJWNgQLUyJe8XSbk6oF14mINpw19+i6NvfQ4dF2C
voINuSWp3LmwduPBjVGAPLdGOcSBBkwxVqJlbZ4pyvunZYiTC4cF5nUMkC1o9ERLf41gI0s4uH7V
i6YFeomIY+CfZqSrt4dRRZzbql1E5n2F84e6Lhe99badTeCG53YUeiv8WKBl9IiZTG7QJ9xj7Fl2
TWvkK6slmyKHbWSelv0QQk6CoeSAJI0ISrQBSW/cMJp7LzW+ydfWGxqTg56NAPDUbXyJ2tcvujM3
XHl887D8zxQjNzr4qNceADLpleAzXb3thVSbUleig+raAMIQGbzbHL8I3n0Bym3cxmPKRpOoVxGy
+F5tEiMLQF6K1ut4DtNcdcsdM3zYjxjfkNY3UbrN87JDXsS3255sUpl7Cox+TZ7gtGn/wcOMkgxT
cmjXI5Ef1oN14Q7aZuZafIAEYQB3BQpnlRN2HTbaIuj94DeRSXe3uGkb0GaOE8gLjAUAneHVDpJL
TM/ZLQ2ppsUUneeGxy0vww0QVG6SAcG4ANowxnVOH/GG2ZKlmEJ2P/aNJwusJJPMOw7Qk2GmyHCN
wZ2Y/TTI1b/Z5iWZd72XLqywUyPGPEATdVwhJh/E2HtVu6VRXSyZXR8Ua9I6jzzlfuNtTxGcmZLo
bWpIWPb1UN+cEx03CYZNVGaW4MkRo172+AD+FTq9uBrAaVcOO/KhRWd1m2DKxTP9b/bObDtuI4uy
v9I/AC8E5nhN5MyZogbqBYs2LYwBIDADX98bKbtKolxSVz/XQ8nLLpGJBAIxnHvOvhPZj43PRm7Z
ODgn2ApL0ZysLItOCSGQU1D7xrghU0NNM+4mdysM0S3sx0ufR77k5Npcu5s3Av/yjmRY99gPfnmv
gzo++NrZJGJw7zj3xU9RUU9XGJWp4mqKuV9F6v8tiL9YEDkQesjK/3lBXPvlPZN8+Lai+NcP/bUY
wm5HiSWDGjhokni6Wdf+Wgx9+RvtFyziX763Igg8gLd/1wZd+P5uQFbbo0sD4Xh01b9XQ5PaIAsr
FEKTrtvrQvlfrIbf69Iu9iicCBQ6QOu5dIF+K0yKwdODacbVCXsxJJO8jN07uxnrW5BrwfabW/MP
tbO3Iuj6WeTO127hlFV+qAsMrYkhMxDlycfJc7sMVACy3pYfZu7AtdbLr4TwN0Lx+t2cVfgHpOpY
FAbfiK6NQZGiDkw+T2Fp3iCt4C/MpoU63eTYJzYBnr3DQydAx6XW08+/7PcF/cuNdU127VTr0Bl+
wERqw0RxYhI4LU3XvapCreUPzGPXs1imxwnp80Nkmb/6yv9wi13uFnAH8PAguN7I8V3bZc0Y+Op0
qfJelFTcE0h7Mm3QAjnK/KLY8MMHepR4TT6O0UvDirdifLYGW1ne5DExIiT2oA62FHRQ3APb+Ayx
yvtFueyyOft3vYz76tMYwwvw5ZHIlxQDvt+8sfc3lzhaY6bVpPNN70Wtdbcsq+7xtTCI11FgECsd
pO5cPOrBLT+UNTHgEMF6Kdccmv/YzZbVE6Zwe/JzddJei0lOn2Yr+MUooLTz/WZzvV4Iyrz7FPIl
L/ub6y0V/OFMdf3RZaVxngxludFVGxcmkK1KU7zVsRjPRPDmYg1QueKJd3B+NHCuHcmre9455Xh/
Utj0X2ISnRzIvYKxBAMbiO0quJIZVsl5MC1KBWUziFtlrWoRVTaqGb3VxhlxIxSrcbYW1GN3QnJq
fPT93jerK9oyTI+i86b7KJUItEszVO7vAVbDeevBghp2QEPQpBrbpYDPLOFtIUTk8piZg/ExQzwA
pbFajE9NlLEBwvo2G3G1sQjSiz8ZpVNKNSJNs+mmc+TgPEzlPF6XZkIxw3MzOONrbYmtDRNBMyve
02loEZ/GbrqXuSb0OEW6fr5UXpfGtE8e1BIdTsNAJVHZwz36AahxqRemrwn39i4TjftCnG16/Kpu
qSGqn+2kmx4NbYgndxWc0yV1XyByW+WpnOX07OHi60OPCjZK3Fq67x3Ksts6d2CJodgRtSsR/S08
/M22Dyj9Fz33MVgG7lvjiKde8tCWQMsPo16Qpw2PUlTMfoaMoGvv5ypFDpeTgRB+qQB+HatJFtt9
mNjp2N+k+dS+FlmFBu64Vv1szQOiXDuC2MaOiGXsLP0oVSfoSVp1+A1k0O86qisfk4HaQlAzn247
QInTTs1ryWEoPeelaoP6OYnxAF8KAXKtNaDYIS86ZcrIAHxjhA5pwqsGYyBMvlX56/uZesLggebB
+k7JdpoyRL64yhcoWpDgKXIkwsb5n1FXIZzNdx3xWm7QW5vj5f5Tl3DJwwUOiQAfq29gJG2o4a3f
Xv4O568yVJQMmTeW5GjwXR8Svxu2YyzlnjQSAzhZXw8P1GF9RIWMULDbwUSPbUcICXoK5KNt+qKB
EI2hCstrEZjZbae9tnY3gQKt9q72StTyTVRNEbvADJ0hYn+H2lOkwjyNovOHCZSeQdGpJbtoHGYT
lvJWAwyPHjE0usUmIedVb8oEbPG1BVPpGSrZ+DoQOxzCMWuX9H6cDWv82HL7k0NblsOhtcA5owLn
1cYA7kCaDMIRfFmX+9w+1XaUQJabMTmWcgYEXISgracTsDtnTzTAvnWhJIRswY+RnKerLq6mJw8i
YJjUqLYepMlbh6DrKgyLT61p6W0NFHbTzZO4M7ykexwT3cabLhrcz5yapMP4akf6rMh0uhrgRhyd
oIo5PpmrNmtWy23Q9PErkru49bC5nss08W5rs5QRCRJnvmafq3jgk4E3fSE7eaBw0L3KFN/mliRd
nG4Z3PLsRPBzt6R0wGgI348+2CUVC3a0znt0VCOEIf9SCmKhWWG6zlGPNlO28G0GHdYShtScUy1L
xOozYV6eHlnmGMtWVCbpEUWVVXqh3ju3Xf3sik5+UHNCfsSPA+VCVRymx2VKIgQh9hZfi4ztamaE
0fwyVUH8IXM9JszKyp8yYigfswZkM7gvF9K3iZaW+rbNflySAZNU4LYso9WThy15SbNyC33KiffC
VoF7dnEfyo9LW4vPqjGM5bRgzgtONnZhewxF3U57m5xBfvYs2/59iQfX2xHPOf87Otu0WXKKA/nk
J4n+/4nPAsn138FXyX3yfePJtXtj2NqEIMJvc7SlVd5N5OP6PRVzMP3fB2qd2dLE/ArH/StQW/qG
8zupY/5+zYrVvHfhSEe/y2BMOZPrOqr2S1BxxrPivHeQ93LjWhVpz61TUb1ZgKZ8mv2gOqZOGdz5
iW1uM96qgy/qJg9nPOvPMIHZi9SdG1zbIzahXAw8VliszS4t8ELviK3GzW0TtPNptrPgFm4JywIx
RNy2hde+mkUmr93IZXrLvYVBo3tGShubwRZo1zqU+rhEpknWIoYlmUu1B4Vuk0l+z0DC9eB1ibxu
Rx4N9XZIkxvVZ2shOYBXmdYO/yHJS4bgZMfy2isolaF+YFgpCB0e52RgHhzcuG0PePeCawLYNMyA
PMLhnMVEcRrF9nCpoXjuSL30Unahy1N6sKPFeVnmjAn/MgX6SU8aDObbOvRH/Eb3NDWiWEhSybke
EekPEDmXgSM6VdbSJkpLPaVZi/0L9U+/YH1sMYlSiXfTteCqV/NVAb6BHcPMuebw9bIEPVeKg04y
dhKRYbB8+fAqrnTRNMdhxpTXDex9EdHlTixFOZ+t0fJKsAezcqYbwJsUq8xGVs+jpevkznIHrjpV
Nd91HBY+smzS2X90iKG0rBYeGEsFVjbWOXbpwBzAxMaT452pAmagYrU7v4uMyn3m/MzEOjdGdj3W
zSqB/2OE2lloeMS86It3RWWY57pPjC9doyXB9VFOG6559WwYvvxgTSPDIigaVnItO/FEdIDlKW6m
Mt83ZIQXriRd7yg2doAc7syy3tcBZTdFDb98F61PNMsgPCy9YsQVhJpvwdFyauisVeHaum29hjAD
NzI/CGPGh899Ymv5Dk+20b8bPPCHdZjiEUyCxyKHlctSVROixm4Va+okc54asSAyzG45PtC/gzKt
YLtRmPDLU9AFeRgVKt0C1SPd6BFgJhLHHsS3EvOcky25xfoxhGg9dNBBkNhOCK3nIlvqGx6/fqwC
ZpZ8SIxPkyHTs0FSGNpFwtID7P8Y45shWO4b+6IfXb6H9ralSRIIgw+pyTYKQTA9xAFTut3E/V6Y
sSCpIIiLTJM+VaBrkSkK8VhClak2bEOaTTZQrxY5OxKEmvwLiFh3HwxVdJRLpahk64FMcNWOIbPC
l7LRX4xivpOTM54Y12wMem3eya4271w1D9vBVKHXzuo49S78JDKe7yavn/cZi+g20wlBTMe5c8zO
uZmsvnzgabMul1NxZuVTB0flBikpuwsD5e1iWdz0Oflwm1t1Z851/L42vP65qSz7thoU8pMdm2wg
J30oZAEndLi3lXhk50fEhtTIF9eL3LNN8ilNifTIjFxtSRImCvBWLH8iEPFAHMzz9FZygWfAbjML
eI2zMdShwQqMs6gf1hkkMZkhWK+YDbusuuq1ZZzI5ev6ps0LBqlKmG1Sr2FELkPEs4+mImnv55y2
VeHAtnv789Ppeur47hS1yoAUwREWUNR/8CMhb2eSFa8+1ihvbPoHkhWb/wfP6g+nnwD3M0KFcDn2
Q/1aj4/fAAcREbs+w4dwLEoCyZve98WTbnE1bRwwWFfempI9X6bDn3+/H47+fC4mOxdSG0ELTorf
fy5H8sLOqqk+TlnhvXSGao6qnYppP9Ibq9lVuGQePS9hLtbDusv9+aej27y9u9AFORXzgnMRb526
c5uhnpB1P1Jao7wO8cF6CtZZN/NbZvsuxsG0wejBsWTdeWMRZ3K/XML/FLtfKHYuusA3D+sHN3/4
Qus90tAplvZ/F76+/tRfip0Q9KTFku9i6cfnjcb2L8WOg/xvjrmqcg5WZEnV69+KHd2HcUACpnCw
2VoXdesvxc62fkNgW22LZsCeFQnsv1HsxPe+1guKUPDWMoZtk0YkzirpffNO4QAA/cK257YcqccP
I4G7TWUDWA9zfxwePMOdz9k0lPnONPPuuaNI8Z5ZcIIWK0v98Zu79w+a3ls9BtWQe4G5nsiMSZBn
lUu/vRoHnT+nSD/cWroUtzEKC8cGv4IbMA0dvPNhdPpnf2DdxPYQML+BUGX0g2P3HUJ6fvkqu868
43ck5GeLQryHNxmIw4w94k8BDX7a//yKL2bnb+a+yxVTS+QNJRdh/pAWcFIICOCKu1t7AuS39eja
8H5Ax7P31PQrl8Znk8i2qU/UfvE9/FxzbtoHRdyPxXCoutdkalvBGly7eLLSipqNStgx+g3uyF1c
Zcl93ssz7e3wSjFJ4XRL9BUdHtho0MXSu0lxSqnDz7/Vm4mWL0VkiWUaKXmNeLx1ePtoLlB5ivYW
VVN+qOKAecehvljjqGKTN06NfFdHovj08499Ix9zvmbGhsUqqbKuf6yX9c1YpNQTO3Ubl7dlgKwK
v76/hRNIR4Ao+fDzT3ozo18+Cf0MKZdAiURR/f6T6hL+MRaz6hYqHM7WEW3nEHXBbG2o/OxMDVo9
xKoRVCG8r1H9atC8rRnzLS0TL7WD0EmH1LcfT3onJZ0FGMpf3esq692XvFivgaYK7Y6ccUUhlEd/
GAs9wvzKK/9PQAXtCb68cz15oAZCe8yACGWA/N4Dp7HsbRLM8581m4UtyriiiwGkL/Iktrf0X5cD
glo0s/2n1/THBwUjlWkDuieNewiafX/7TK93S9eNjBvRR+olJZ+LKmfkXels7JleY+cRL9PvnElB
ui0a1DjZwTS0xOB/6fxlqcI5iX2SntnwZwqg+nVw68Q///wRg57lKr59NclA2QwijxyPII7o299f
pdcEWDOTzr7JOE9gPd122AgPa/cVytFD34PH1ubDoPAQ0sMz8eFjlOgtTX0onJq+b4VWjzW9ZqeN
X4zxxzFT1QnBAFuhq+v34LiCbQQ/O+yrLEtppGSjP0ZZW96OZALIaxPtjWMhEUwXiJyhNSTqCLap
eLSy+D4GwzVtit7Xt12knzpiGjZbRmuVN6k4bhunX6jdjUF2XSRu8ByZQGISLxDXCylLGY5mQliW
25GejACpczPOwbIVo2ts8QD9Ubcgz3rg3bi4VOfvo1b3J3qXWk86wdJ9iHwDi9aS5BzJbRPuW1pq
43OvwPXVUF5O0Onrk9CyeE2H2uO9t1X+Dkl38jcDEdVzEzV9OHMfCA1b8g4s0bQjGqv3Qkxi2BWu
L+CC4UvQ4WAl0U61NlJnLe+SCB7dFsh6d2SpsbCYwiUlQuwXnyZlJldWI+t3lCndQy8zw9oDX1xe
Aq9qdq05Zct+yIN4b5DdfYHgM36BtFpDlIZ32G9K3FfxfmJLzMsxjrs5Hvpgjwl+Pcna6ohuDyTR
c5qKGw2ob5O1WYaXMRqJglbuRFm1K6LQ7oxSwYXId/FKLX4YMbps07YBypkxkrq93Y34nib0pGtq
AEsRwVrWnaIUna5MrdckSixreW4JEKyMAtkwlVd/WLPKOptqf9f3tXnb5R3oUhgYejlAae0icJcp
e/fMKqp3JqeOUzbb7Ch7nkEE98nkeAqBJaAHDDmUhNYB+ah3dDeMTUx3nYjuEk35rzrms8/ZYZ4K
2V17uAQZUWOE5W8Me9bCvWckWXQ38Op4cUjpF7yAsPNW7ZExG7nB3gzZYTcBQQqNSAqJKy0ySwem
LUkInPv0Gd2POBvVro3YFezdMlZkQRZ0rLC0cuCBWMnZkQ/tHLdoCgY25CpOgy8GxebU3JqV1cH4
DPrg1gU0Fp1L2+/wRYfl1OplPrbEChqYWHHiA9NvBzRi2bQlh93CU/MRfV7VoWvBGQj9yZ2LQ0Mr
HSPksVofjVpxfCcysZpMc2Uad8i0BuoDZfqPaM5SnexGdgVmkc57XPrOhuG3eu2vCOK1PtWGxEq6
Q9QMdfmOxdg+E6C28n1fcwW4JYt42ZEcWMg9Z2jaNyoA07kzeFUaALCiP1PWcIttHNlxv/UBLteb
9LJHL+m0vPxJll1624ALIMaE416fhJk6R5LBCLAwUrW9Tas02i59lBO+H5ta0nVozJzQBhW/wDvI
FuOKsx9Y0zoCVOgn0q93YqY1zilJxYhfRToJTmH+HuYAKAkMn9imvoE8tmzAIhmfG7AAM/0teI+s
W7HQYTXdBINj2E9zMVr9rVfLGYIq8fkbLOUsSTERaX5Awuqx97SAEuUzwCVEbk1bHEzLo7ukV6KL
u6dLRMKdiJaAlGXw0g4DnO6u9TCgIoyJVQSxab8Xkq/YpbRAei7GkZ1FFmfDO9Lh4+91k9gAmMY4
ok7kcogsiX/Ze7eoaIJ1qUYt0B6dh0tlS3SAjJA16LMVdrQOmnaDpbL02EAKg9jng0a5u0g5panX
wZlhBEcFazkJT7NDAcXUa7YlGUsurMKTIq5YweQHSr+MbsUsiWNdyKk6dbhfrfusAd75aAWldDAA
ZRRZuqlbN5/JPN1jNyYOUY2Kj66qBV1oshSpFDP31y+/FtJG5ieuC34FknvJt+g1/TIQCCmEhDIf
eHXqIs7Th5IOUbDZenYFX4skwurKZHXwziAV7BrL6ykZm6m/UVSA2k1q9hoaGQFTe4dFCMGKf8dc
zTdiAoHFtO6Tu1JRIrblGSB7GmxospQzLoDcvYwlqKHN1GA5srvJbK/QPynRVTWY8HcBqwWFCJN8
h4z1s8PpX29owJBaZ2Rw2V/R1BU0xkxEjCoFHPhDbXFbV0LgjNcpd++nvoUeo3Gc5h9HT8XtESqb
+kITmXUOuYRGOAcE9i61Zgz9NY1zPxpmhPF/rGM8aA7T3NyMyWMKXPkK9FXmbl2rsVavMVEpbNMW
oi7Ng+NdYZW8Jgs2enlycM/pPxUT8nwmA8q7AVCTMZK52Ab2kJ2GHYvMqK9E01t4wGTRDay09mCy
9dbZ50ZCKzZmtunnRXaNeIWeO7cbRdBzAM5p8asmJVbm6gh8/FTzWEY8eNKjWdswdDfT7MMsGlq9
Cfz26CjYCcdlXFnKYO/a5VAXeVXdlN7kXBsdXKBdoks1XMXzWCdh4LYqeWIngkZNqRCgsp+2wyZP
2hEazTgEmlVg1u+KWIv0k6iQNUkysQOb39edbUh+GZzRXUKvt/hsRPX4exKbxkCHp9bLTymWxoeJ
tMFyaCiOpfiWegZpanWZfT9heXNvlVevPMB6ML0bRySAjhHQx3Y3gi8khBBQ7QNc5iPJBW1b7MRk
T812KOB+HihbMvpzZyI7M5Pja8OIjJH+OBKsecqShrHGSrfWDWPV3peypJd4b9WSHjcq8eiR2D/H
c+MapJoKUTyig1MZGgmqORBdi2B41BHNl1ncGdG7OrV5mhwc5uk6tbu8uvabOrHvrQli5skvzGBh
a1cnyU3eGKu63UIRo1am+u6mKCKuv6Fr0L5NgjzZjpNpnmbt8N7PHpR0Yh2Jf3PZlf5PSfmFkoLz
aW3r+p+9T1cvZfvSfiuj/PUjf9uAnd9wANN2B5sSGpy19r39lw0YtcTFEeEBP6J/rctG/2/nEyev
v3UT7zfobfhqTQvHh6D6/l/pJherxbenC2mzMSY7ijOZHqQ/eJ00x0U6gE/elbLqQIQW1qtx64lx
xmrat0a9+metBUYtWP3VHlqVs4DE5ZpGI7cLBLe1BqHplkW1mC3PtDOWqXGiYxD1AtSkTdoPs1+x
1Lc0vMGds2cRUc5421EATqYNTJERLiAKAA1gwRAq73pwdPtHGZkq2FHbfCgwfs17WhBuoQzN74xg
WTg8dAn4Wi0Fi+LGorPrcrCgmJnXJZxxN8xas0HzpgUFkRkd9Po+M6KcZk6RfG6LxU7ChoOECJtm
yOorr2zY/1Sz/GQAi6j4iNlbdpMsCDPWxJZZrGBO7ty+9e/UmPnPmobKW0NW4+cU/tf94nIyqfrZ
pZybNB3qvzV1qE+JERA+MupDTlu9U0Yk6rPXuvqT1cJr2oD7kn9UMvijmNYwHQkdyrJqPvFHdDP0
nn2Xuql5lEAPdsxoMpxW/tVmsKV+6LOSadqcZ5OiSDzwitc+PGMCb/Tnpm/zvBkFPLqSA/Q97Z9a
CsAqOlnNPB4WVrcH2VozSZZMN2z2CRHQXd1Ij0mRpa+MAvchy4fB3g2VZdwlqgwOk+s1x7aaxPUY
deVTsvjAK4KeQ/ji+OFA348qdILOuqFuyv4VTIKz8TToz8phC0k9sAoVYtlpgGZ+RTmOokbaO/1O
WGVPyWZg/2NEVIhHezkWpKg4WdN77LMBxXwfELs9kMpcTjRiXP4wleWfEqIt72C+RbfAvavryoh7
6hy0hqa0u3iDEKyMTgcyB9/M1392ueUMyY3hWnXdh6mpfEDiGptN2ZwzxJqxPKuoHYtqSwpLZ3Jv
NcZjYIgVYQU/uR2XHTApYf7xv3m07NJu/sU8yty1Srj/eR69pfyb/J/wpamKtHz5dj7960f/dpK6
vzlrCgIBzAVod8lO/DWfBs5vNrKfY5rCIV0BauZf86ntMQsHKFbAJWzalHuUYP6eX+3f+KvADNlE
uiBFmIX/CycpuIrv1RsHzYayuVx7twfCtN+qN+R2tYLPlB2nbi1oCJkn/nZpY3YD1gDufjVOk/0K
6CXpnSJrJh+FRUEGobcAQA2tkSjE3qZnJhRKerrro1GARG02RK+USWaIrDUNKHBQRolzgk8rbmnR
5Zw6p+dIMq9h9qIm4c6bR0lrzArOtHj3MXAthJjJgVXPQI9JLJrwhHdD1rJLG0sRXIvEcl6+Ouck
ZqCwgvPmbfrKCuqDBS8XISM31h+x1wN1nqXzvaUxoPR0Pud1rk207a4lah9PLraUVEyPNIDBV5Ir
tk52PfnNHe1f8+pMBrgKzp70yaQDeXkqytXwJhLCaKJcOQ21w8kEQBenADRkvsbX9LhlxWT4hS2e
qD5Q/LdIgFU03D3aQ2K/v6AWShvrVWubmB08RXAztmAC0AM1jj6A6OZXa4rhK1c2w7tASbp9zS7q
Bcw06yltITbY0WqinJAm26/VOYX36WWO1yJ6H3MBLgcspIkCh4Npx9ZTxklCse7RCnHjyYlv7eR8
ZpDb9TPHeL67vDgY+tGkpYuTqqsy8alg59T8gyGi2wj83pssSoeTXcn8VK5GEsq36/38GoFVoCa9
LeOa//L1gRYm1LRtnCJyW/36hC8eBh5p234iPsamcqwjhPoptzgjmm3B6QzPJV+hmjN+S01tfN0C
k/Feu6VzX8bMYPdLE/q14g6iltZHho/LCX2IdaXO0fY/Nl7r2PtCLUbFFLl8AUXDnTAHzp6cwR+7
pXXJU5O/Dy9sgMVqswcfWcbZXLK3tVDWU0nJ/PniTqpcxUAH0UtUkKI0vwkeAX9SmuTagN5CXTAJ
xLO35t9xxTEarKblyUq743h+MS1hN++dm8L3OSrWMfSL2LBwY0RodwDEx7p7RQTmDGWuCIFk1LyE
PlnUYUMIiA01eESsJBBAOWyVGbxs8N0FBwXMn41H+0HwPVWNRHP0s8g+GazzdjiPNtf99eihcjAm
Nvh6Qt6jYsRErL2vE3X9mHaJBjaaYR0neCvxbq42E5KGuFjdHtcmvDtaG9B9Aw+NJXc+TsTDPAxy
d7Ft0Scj+nAZwhcpYF6JNdX6spOfqJ8jD6PXaPfcEuD38/0U8yqoBS+sk2SIW5bnoAdcnD9dVWPy
qYuAAXOxun6tQV9eiR5jz8FLVwfIpSqPEGefLgLH4mOM0S4907de74knZ6yiD4DCB2MDlpiYY6Zj
urQ2ZKw3HhupHR0daF+UuCN4pFTxdVCITmk78UA5QvO3wGAwwAybl7zNEVh3F8PoxYz0NczNPhku
R1LJ67Eq5PWi6cC36dKZ31DVgvNxgV5M8w8fqvt9pgeOaTTEmJlP44UoU1H7R89tzP1Xc5SeDKxg
idFspmqF+3DOi8f90s59smP3yBuGWZcL4gQ6PcIG5Zw+E5G/ibN+Td9AVbKJaD5Cc3dOQZlzNFWi
4Pc4nnJOeY4VgRaiFl2UcOR1bt1zB3EKPdaEzFO4xrl+zgE7HKVoYwo0ifV0cfsDaEeGDBJsd+9a
2FMODg+mSHvhC9NehcMsKDUeVGFh0Y3MZanPdCKiYkZzpwLMVJSB5TGX9NDT4JUOdCNPqUgjGqFA
7W12NAVhTEVYEOic4C081oaOVi8mvFdcwSUgDw3i5ylz53He5o3Cp6xoJ5LvRYtZvSoZpaMceCOU
p+lfVxG0V4QGGgLUABp3g1zdC74gk3526IoNlTeO2lfSgBgHE5fRLfkIdtToGqkrMrA+fXPshY/L
+zLmKePyQ2bHdw4tkAk2T9ODLJUS43dJKPI9zXXaAx2vu4dBuzAwTIqFGNpWuggqxzoe5UrTqfUa
GLcXHuTXKS1rwWJscSGxGLkRZs5TFrQa1tGAvA9z3xD3jsfbVRS5BBQ8cnttZMDLG6eGwPkwlt1E
Q3ntNsn+MrNWVYJ/bKSP1QeR2iW5xTie848uoOI0ZNPNhV6gbk7SuS+SluRQhbV6EAk9FoK4fC2T
iRB/DQN6E2hzXZzpOQ/dH6vWLRRLJrKC/QM+OEJhBJ6TpBQ4y+Zkpi+Ta6txK+KeLcQmpjWBCAGh
yyuFmZQ2Bn5EmxHOOrJ4oOvTnxkthfwAboMRf2ApbY5lh43o7KxNoDf56tCueCfpmcEUgxt3BOMd
2rrxXiu0tYom12fqIz0spjkYJ/YhdvOEGeNUyXUhar2yeErnuL5ijQnuyWSZEe/uYO8bbWMsFKK7
JasAvAYuWTgEcfI+9TWe4bmMPtOdcGeAQrhugfyFTeejr2W8A5teCWXABejmU5v09ZWfSQSWe2pD
VShl97HU2C+pBe0NkEL3NQHDTPmPETYA8+OMHxFkv18psmMUZBSzKmeptWS5XfBAW9uajMvWot9U
GfpIrjFHEyejCbiljkJoeAqpUxM8dXJ7n5cW/cTROvdmP41n8Ax0OSIpN0PBoWvCvJ+9ufCPhBlT
OkS1vTtx+xN5xTl4uQumzj+3mWSZSyd9TCdOzxs1iveOGKobw/TKu3TJgzOdFBi9Ag+WRzfoXRzA
jMP5MiEh534PY3Ywb8hFmPamNdzppaDA+H721Xsn4yB9DRLVedA5wGNYpHSxorexxFxmD1/auZG/
JwHsm3aUOGwYZDvt+ilN9uZmPxuZPJqDRuWcOoRhoocJ+Vvyjr3dZjd0vs7mG+6X95p1AV11qJCw
jqfmjv4Y7+npVu/z1G8OlJk+Q+sK3TTzf4+BMT8m7oyjuSC9CLIbinvnNg+tyW31ZOnt3ElNf2S9
9QR4J9oA829vgjRZHtTCebnye7VHx3cOkRz861qm0Nx1+6Rlb2SbxmNntGvprnvTLRFTVE6JxkW7
g/juROdeNeJMzMY4UiJuT7mkv2VlL2bITSt3Q65dbHKUoNeGJQQzgZBkzFicu1V+7+hs67PrNJZc
3LEIzJvSGcp9TJLjVDT2/BBXdmiXdnm0jLY5BOsKYYPp2E6IxUeX6vqmpa0DjZgnvc3qRt7QO/mh
TxUdpcvSfMxphH5NA+buvTVZxjXn2ILmC4HPz43EEH7vhgKgPHXM5YxBnA4eaVd9yti+r9ZbxYE+
U3iyrQZTnT/axq3paTNk5fW3eeDQxcNd3X+5Oo00PHgxcoWzcfWWCgpa4dBAyKHdMc2gqaFBYF66
/gBLPgldUishk3+8pc7FQgQN9TSU7mudxM7O6gDliNos1tlKnOassV+ixqz1Nqra6RM74h2764ad
YGqWW+wf+a7TjvcUaWYUZv5G7dKKYqyRWv4R+yDukKSYtygNMw+NRhnXSW/4sJttgO89EwnmL73t
XPNxGPNC7GJaj6NM+3qZssc0EoREKbU4xdFf2iF+ZfKPaR2Hs594T72F+lDWYZzQInZTxXZ06LzE
YGJqUu8Y5P34wchbK2DZiyxvk/Yi2TZ1xwkk0TsfY8JN2vJeILWOH2ovKE6LR/ZAEijZL3AdwHiv
jvfMT/eeVZjvx3gKGOK2qhz6tgE8QbCAtoF+QyYxviZEckt8vP1oUFe8Uk1w4+UljY/YDbxTvWV+
kmPrUTHl7NKdc43l9WPr1b15go0uu7MBctnqj8xaco9Y1+uRtI7Bzinm4BbdRZ1EiqsHLDWTm1aU
0DUMpCPR+rGGETHOJpkEV+CzP/jwjxc3hGlomJuY/otjHMau2dvPQaJYda0+mz3QQYEd70n/uupK
Y+DV+7yCnwPAfaVT0eQAWdrt2YPCTmG3VY4tGxFvcFibUgzN89lcw3qzNQIC82URKj2yLZdriueb
E/8/+DPeGB/Wo7PLwd7iAG35HKPX//8bH02fwHaruzQ7RhXBr62qKnv6uDhLD1VzJt22d5RkN1IR
Sck92leMv+KaijUZ+I04ul4Byuj6DxRSruKNY3JMPIoSVhcf3YnEGoJ7iwu4lyKi5mi0ScxmM6oP
6WqDuepoV1zuaq+NbmltLJ7oi0uFjKLY8N/fFnKbZFPZtgNEehtnLO0+qhL6J6/yHieyidWf7EzF
nnTgcBx2qcXOp1cLmyOqSb9Cc158mm/uCR/vrf9jCy7eYkDL2c9p+EGHGarWHIUyoWd6EbY6UBkP
JJmBVBP5COyn3I+Mk1izCaWDqHeFrltbdzAuhxxHCCyI5NitJ+hax2X25RIw+1rD+/ko+oeHSABR
4JvBfWrizVof8jfDaJBxCiIlKI5lNCi69dAFsl1jj7Sta0i70fOnpjmLR6nxRTn5/Kg7tAqdcJZP
q6l5VKUOf3FFCPlvhhWNlVZrAiljW7AMf39FhouppmffcKTex7bxkovrkKQ+tEg87Sa4xB9Gy2pf
HbJAp3rgfFFezF0CBg9Ngdp6PYNxZ39+YfY/XZiHOR78Mw7oHzy6PlGyRjU6OdZezA4VHtn/Ze9M
luNGsij7K229hwyTY1j0JhBzcAqSokRtYBoxz5MDX9/HQWV3Sl2Vsup1VZnJlMqkIgIBuPt7795z
ATwwqZtack/cxOrKJ7jpnn2aK+UwINqvy86jbY5YA0e/A4uE6U7XZ6plez0XQxZIDlpCERXZC8f3
JML9l4eVOsOrXg/eN55sFS7B0dRVs+CZxuC3t6I0KSY8hys+EEGlfIyJxk3B5EGxVOe4z0mZcW8t
nQfsULggMP/wPZm/6Qd57pGCw1A26BvYCsn+6/cUG1oDecHVDlYsWAPNakEv4A2q1Ckl7351D+KP
HbWn0lTOKVnEvK05GZYn6TtcrcgyqE7EooEOym1+y8XiV+nmkAHX9pBlKt3zxNha3gwTxrFjFdEB
CxK3ZhQcjXAqF4IWlo0wM5o3TjYjoPcoCL6t3/1/J3p/6ETTIFYe+H/fib6giB6+ZvPfe9A/f+hn
D9oz3vmub+C+duk/m3SA/+pA++8QiKkxn4s4Uxh/45xb/jt2NHz/ug6zFdo4c8C/OtAOLAMoQb5A
Sv0fk31Wrvjf12skmlCOPaAIyHJgjf1m+GcRiltvCaPzaNB5CCzLcK+TES1MW0okTI3rY5P+kpIq
dKobG1sNWRH+I8eN/ti6xXiwGqM56H2i6394vISanP6yDnoml4RJKDuZaRv67xu8BOMoMtNjwo1y
srr3/Uy/9xaHWSPjOpFtjKF6Sgxbs3cCf0/fh1EATZgtrl+88FsL4+DaAYxoKOipj9wPC4Xg3YwF
sydprDNeixiBVLvLCfbcL6OjUXWJ1NTvi054nba1nV7zjsReLVtbz8o+poqZ7ExuKxvWzPt4HqNj
JTWyRwJf5M2jF3YcaG2XTKuNlhHHSVuBgEdzTncoiZ+ZM8ZQ8oyhFg8u1/Y9+Z54h5MhBHfC3vRD
+EX7lWjL/CmiXZ5BJc1nceiFBTkldFN92kqzHVEJ1DhwFzH09i4ZZwQMWWXrV6g925Gz8abVGvO5
TZb2XFKRP/UgZW9ZiNP7EDLAXm+y5o6MI+NbPYDCsTKvuwx+3pzpB8Q74GoElgGSGW+cqF1uEhxW
Xr+4Fc7nxXi0p/6D7RcDh/iuqrYLrISPsClMd8Nf0d5iYdeuy5D5MnDjudulSTo8ufoCXiYKWZl7
Mo42FP+CoMFooZ0UpxZtBIGPP3AbrXIe464fH2ELUKR5snggWLhPlYWvID4AARWwPmloiUIX7EAq
mXtUgxN0R13iNrbKk3RqcaAjW+5rt4+zwGidIaC/7+yW0jWO0grrnUu2zIYykORaHSqmvfSUNU3k
XJFiNRfPyVRKdq6fIwMVETuAdwZxlEfbsNTzj3VvdM+VCzmqmUChM2/Q6ie0JcudBWztBlkNSWpM
avYYe5UVa0B5YY49mE5CpkykPQ46qtHeL5yJCSqmTvyccYtvLLOVAUCbdsPoZ3rU3XG6Q5M8XsTU
DbvcTvyD3cT5rteAMZhTYvGBeusx7ot2P+gwDaM2ibl9WzCW+4lApjlYKL4+Cv6SQJM5E1zPH3bC
n4zPZpTGZICiojaxit02RWwTVCPbo03jZAp6WFGvVGVLy00XGydzdFIO0ZM1x8HSu+UMONU08RCL
rvM2ZlO4ZIT6cIT5Zv0Z7A/ywQ2nXO1ZyE53N7aW9ydftsbFrwW3k+Q6nkZ3ackzF0V7WVx80ELP
H1OxhEe+dip0e2gQP1XZPhMkr2zCfoy+FJM9UarlU/u8THV54+c+6V710mS3QpDmxzQkDGgrFyQe
0oSzNxFNt/Ewwv3NtyZFEpm2eiIOXRHap8Uy3/vxtHxxeWR24dTZJ99Jq03izD5tQYOoQla+6XWM
Z49ZmufM+qaIltLYZkmb+QHz4GnegCpxP5XEhA9b0ZBxCTLRIIHMKmqkc8YyVRtAFrQ8DNKEihvF
byalmxbiqYocUsI7Fo0iSEMvvxdVRQU4JpF5X4shf2aKMWMcL2Oe9Lns8nvbIxN6MukFb6ZqrLR9
2xm0G+p2ce7KZWjvXFSxX8n7nl+YwDePyWD11U7mpnUbNlNzozV9hbHCwjiYeGn1THK0lm+NIbGR
qvLvHW5Tf0c8GVCMRbS3Ewl7D4k5Ze8R8pXPnugNFVhQbbG1JDtWY8sHwZRlX2Fka9C5yNfOaNe3
DlrYOdc+Kv7wRHu08R9NTvsJHX4i2ClZW6fd23rhfy9hSV1Moyg/UrZGQQGR8FHr/faILfShQDFS
gciu4iMpjojVyH+qb8bWcXbYdVqU09WSYlEU+gPPlHZSpx5uSZKIjGPXdtGDbds1ejJiKYGTunH3
qZrhe2xso2SFaIGD70JnyD7HDSxKqmM53vZeMfKSSMvBs1ke3ZJs7uN7TfZathVjx+vlUT/+YD33
H6lmp33jOt0nRyO+Hk6AvtzY6YDQNhLlCXLIsGsm3JisD/KEzSj8OMK65Bduug1bph8IvTD6TTRC
awNkyWM6Qjg+GJHwaVbOzAQ2emc0Zx9Ra3gagX5e3MWbT62HdlQJaj/YE6ODDDwxmvZrarE9YAxC
wZxpXJ/KyC4p4pSHhNRGTKfk5wJAtczNgLjyQHdmk9BG5+ZD4rFI+2JnJH5tHEFgYESvlQ+czjem
xoJL3lT6YCNT4T8knfaekStfZN3N+V3vkb2maYTqqdEQXE8U5omna5/SKWuurWnJiy3A8gVdHZev
1BXj19HKuwuiaZ5xSEAXjOvt11xDN86tKSwcty6ZYTQyR2+H6Di+4XoQPleXVnvSEkCwG2HFrhUg
LXTt3TBjJ95OResDC2m1BJbsMugvTtr35a5xmuyL3btRtpt9ZULw9bQMt5DXcp3d0yJTzovdCb2W
l6NTzBKoE8Oot69JF2cEybctQsTPmp2O95puZ4+z7jxlMhSHNC0iYPl266K2Zbp02yWT02+Uzus+
zEDocIyqPpFg2e97Qj63Va8TohnqKU+0ZqXlJ0uQsl1Qd37HYuBspWPX7H9IBm+9pjNuOpYwHp2O
pLdoGUm1BujZFHjyMQ7nhMhFG1FM0+fGy7/0sWVsERySk0m1V59JKNRgB06ephwqMoT+nIcTneAK
j8cU6/0dHo75SkWTPMl81OEwF9C/mVw37aF1+ELMQnevdp/5xk2CXlVsfXxbXUCQHdu1KOxoRxjg
uCVAzP06pbL5QgJZjTt80fyza3eTOkAKk9kSEVa7ke6bzcC6JXIsRbS/8clwvukLfbGB2Yam3Al3
ShixmskZDgAAw4l1Iw3a0nZEAGig/WCmuLSu6PgL+zCwz195SBc443z94c6vcuc8pi0LP2bjsjkS
uGxLgMJhHLKb2hyvqtzynqTE2lA1Lhp5mw7XxWsz1tXYt2pQlU6e3rbxnMmAlby4S4kdeKHH1Twa
1uR+akIvPVSchcBPJpn21SaT4+xVblMesORKQu+igkZ8bCzsEA14ggM2f+PBJEmqOHt14t9Hg1v/
8EvdZgqkR/oJXEmuA71kNtpZA5lqEsie1V8cbFmV83aG/m/V9oeqzRKU5P9UtX343BFrGPVV+fe6
7eeP/azbYJ2+8w383s5PKCv1/19aTDytLqURmh1Vz/0lw/Tf6Tq0KgX1cpRAk7fws2izxTthC46M
lkHHgHbBfyTL/FU0BKMNThnUQ1t3DPy2NCF/bTws1dIMWjc4PA3oK4IykcMVERGnSzk13ae/XZiH
t1Lwf5RD8UAOYd/9r//5a5t1fTGcZWQIE03FGvZ7WkkkpI2ep7chCc9kRSjpywxa8+UNfU4TsH6N
cCB+9nkSj/8fL00fHAuwAtn+DkpLtMwghMSwr4uSRJR+q5qY88Tk11UyA4bxdKHQcjIa7sKFVtk/
vzwqr7/Vn+qTuzSXDZUlRqN+Lc//3hk0rSQqAXZa17xQnD+PTNx1Hs2cPanUy0mMSn/osf1W9P58
UW4VWndsGa71W/MP8HQ4RLVvXpGEI4Ch03syC4dutmv6yMkVBobFmBdHuNl2B1gB/TenBsaTa7Bz
gsZhvI5cA9R8p7WM4ZcFhApsOJwS5BLoxmVctT7JoppsNAppA0uw49Yfqvdfe2NvH8OxVHqLCcbA
+r0N7NHhHSRGo6sxEFuRDWjOZD7Q4vM6iYYrmasLqbbdW5fq31o2lSPz/zYzfr6qz+OBbZwX9tU3
+rderqMxMJaiNa6EutA9XBvgbhn/0NmqqJCZSwgbaY9wsUi+oSX++Y75fx9MGrYeQRLkuHHf/P6s
jL5PZkMmDQzljnxM1AMzqxA3+nR/ym8zfu2OrJ+VqC2eLDSKgCl+T4wiFbQvdYYIV6pD+ahxxMr2
bzI+zETIijLb/oyxQT2dOhK8N63DGm+SZvF/GpbFo2KRwMhqSdmLivG3u9Ykmdxv9FC/Dn3DQ2Kj
9KluTLZ6ZbmkDfvPl/lfPSQ0ztRzyf9dHMa/fs9GjYhBs0bzuio9yjmmuboC2QaF5ytast4slaCF
fo+7fNVQcOAiLgiKLedc9EHVRVOqqKgRin9M7+mmz6iAVqhfHI8ov8pV+ya8kkG/D9c3/4M9+rdJ
yfoFusqbjf6U4yZ37K8fIiWYbfBm37iGYcqUbRVRrfeN7Iv6tSUfJMi9iXVv5gKusKGIiAPa+wD0
j/WK/UsyG17SMi10yQ2QXN9WhN8/X+x/sQpiMUYgq9u8WfF7CpcGM2Z0Qtu4isVl2Vkvs6E4HIZS
M8FE+tOdrXbQX55iRgvc1bQ4QaBgZfj9FYue8A89m7srx8HqItAUfg59qX6x0MgNSubXWg7CIzKF
0DGR1BaXm2ma/adkyNDMWOXcf7MqMIOr+knXeAgSy2bhVPfEeok6dg0ke4niWqkwJ87QZPYA4jmZ
Lh9omYkZ++fLyCf4/WPxSfieLe5c7OS4OH79vhcv810GBtG1YkkL/JoWyzZ1tfS+sfK5PxITw7mf
0iftt+SQEB+bjAw+9n4cJdSe/N16MMsaenRqjjsSDtw9YzatP8ZOh1ehNKLZIgxJ0K7ULYI7EP9O
GvCeIuq3ulsh/Z+iWVGNfOrhrW7qPBkpXMAdWwDWZ8Kj6PJ5dXkdaHVevK5Ib8zCq+7GNHSbrVe1
eI9rk9oeE2J2b6Be+KpnnbHNiUBBZcTEteb9jfE3Gnqzc+7nuNwmeAerM2qewto0ZB8+NKQYFIGM
iSzZ2OTybIVLswbjl6vVL0OZQxK0Qtd9orcTc6BOIya3tCYacGuChiRFLDTGwOlN7wtSXQR+ZdH1
2XGRC72VZoBAeTIZoGun0DPsGzMamDrXY3jWsc8/kelhkJVgj1F71SZml/DHiEsK0JahfgAnVNcP
bkQSUyAxmIZbssb9lyge2HYz7hF3VgLWVb9I0wxNIkcDpIvAp3l3Svbb+TbHhJXqwBEQFeOoKI80
RPix2e2U0lQJGj2ygW0amWnu3kCjy1ADhkZseHWwlIPu1me0PWhtHAsllCZ9z9hHc1XQEKgT6Z3s
KInvYIn2XxEaOnQsoFwd9IQenU/2711r2u2+9ZNN1ZDsNSGj/MiIifpq9OQWEgvZ5WR+ByJRLlFQ
dXsTNMqnwu/Ex0oFIDVOHX/jRpHfoyFMe8zYUbnVB76eIKazdGgjCB6F4Y4BNxalj5p6S4mSQtPm
jQfow0YWSs5TEtXPmvCSDDq812X2uSxzv3h2x7DS8aog/ajcLT58CMqbfma+jhmDDgFyDPr64NRE
HWR2ohmor6jynWLrZYZff8QMAmCcuX5aKnzbXHh7oMEcfhaAYFWWKUGCNlYXPfI4DLGCg73wJmXP
zZUcoojC/D1QRr6xNUaomGdkCyMCb2CNFePyZOau3MQ0tbO9DXHdCnzDrV/xZvPNOsbCl5qkFUmI
euttJx+xEX58smARqbJkJ3Z0HVxv6YNlhiMaimnaRAkpIztAm6xGKv50pRivw9sOBuIJvSwLj806
5CJX2BUtnkZVSDIFLMgKgfbWCN4cFQfYWSVMHxTYKpuL6pKVmfnc6HTGNsxb/Zu+H1mfWc7CEJeP
X0Rb1Hb8SbQAVaa5yMGHCTh/sLiYcfceWVyfGZLwkXoioLpNGxvp3VA2LDErp28dX/puJR/JO2VT
TzRW1HWN5Azn3YSCTdTFI4T+wuu+Nb66lH5rEyHbDfx2fbfFMDCTtRob7T0Sc/pPAicArVV+m6EP
aO9XCWIU4RweFgTLo83JcFbikdEAbk2neX4clOLTygkmTGkaPEClxeO4ki9nk2tvFDMfikeSV8ri
sfvG1EI+pup38GeQWUfMVk96RpKdp3SXTMJImFMsv9XsS1YTp1+ZdPPjelBYMqK/zisDy5Sc71cJ
datI29L00m+2lbtcC0W+rABW3+nKiOBUoX7XtZhdb7iN+O5M9W7LqmHj6ZTHQOFx9VTnEF5Vjb8T
KgWKaFZ2c7L1wAqHJtGDTqcEqmOFJv9Ed4F3PvIzqM+rielvo7XMfdcDzqCOKtmS9t/eip+ViDWj
LMR6LmYabraWNfRDSaaxb3GkejdxIezPdM7a/MC2wxusTTATSAlKomZo8YZfcg0P2KZcHyEjFIjW
R9mqYxA7Dxnz09WzJ1i7KieYCsLjcMc/+pHBBlzaNOm2lSpVsrhIDsastMNKHe7wTQO3sdwTH6e6
WKPmPCbzMCNMwk1WbMchaY/IB6CLq9tzTdjTIxLncNYq0mM6ksZngyEYbusp0uJjgdyfU5pTctcO
8YKfGqgZbyZUwoi3XMpVKQHZwX1OM69hZqJE82/q9jxG3xwXE9dU1gWff10EstxCr5TQCAxwPgCw
nIV1IumUB85RL19M6J6QTnEc6436NVVZl2sqNMf95tiEFt9qwth+m7ORcx0mjqAr+RiCnsSEj/l8
TXjMMNwXTIEW7BkRnNCbFkci7T11J9oyNbrLqoVHCs2CYbT07jnTNlH34MsQS71XqS8obWyWJrNC
LY6+0X9J+kX62AgXrdstTs+hyPRIjmRIFBVPsILFZ0ulOpuaRw2Aow/NkfSM58lS9ArLnI1xwzoP
hnhO/PqVfC8e9MZAsbV+QnYizsidwwrUVoBk14J3AZoEHAFjDRnKqGBYuvXNREn7PDT8IaltfC2r
GWMBgQC1TvHa1m1zXoARbOsc7IflKfzTImokGqanwbI2iy0wACoZddVaZpz+Np2MfNm26u3EDp8i
U+L1WgEtCJYD/pdnJY/VMlsho40FEgMpTB5ziYjlKIERGJgrJS7uWkGPjlseeoryYMSJothPRDQe
50Tg4BD+kItH2U5lG5TMeBU9moRHW6qVhf/af1kFHXk+IOdvKq3a+SBe83PBeKnY5UNsNk8MsCdu
EWVgCpaQpYzpp1r7pJlqB3TTLPIcRSJVkgNgWYK4IPVzvQBva5Eq3MfUZF1QC2sbuew4670bRsoX
Ifu6PUo3mb+0bEPX9f60zSE8pDQCDmOJofvWHTxuEZRl3FAiG88xFnNmdOsNUUyF96N2GUMEWGxV
0GWJ1GZWhHSHXsp6VzgyUxpwM4RqrAwmhsKTkabBRSCPMKkCpywNEvNEyUo0E4PM2NakCdEKhYMl
IJGqaiq4+5KWMKwWKX13mDkItVvWe1BXNh+BW854Jli9QrHOQMUDTNOww7i45PaYTwBppxWrvZUY
9zj6liuVOje1rhkwBXrlYFhXQCKCoJ9UdGyLoA+VdcbvU66S5UKpRQA10K6eI2ueUEb2LKRV1I7h
vtE8xIvlCq9Nh145CBpF8IjqGVvHCgAnK89/8RVBNxIRn3uYR4+7GyuCtk3tVmLA4iy0PI2Gl8hj
P4wgK4wuhVWxIi/alcosvJ7rESUVd7tOIFmL6WPgEBJBTnjRJ2w0ZS3V53X96cFG6vU0MO6+Ny3x
NdZCEL8Yzo5MBxWkgWcHB1n6I7JASbtmg9DYoaQmcdTiAZZsj/DE2ZHmZCKXnpanzwlldl6IpOU6
J0BSNpWYFnnQhtTa66WHVj1qqh4xlixOSV2nt5bdGbDZsFidqOzlsTRwOAV5XZe3YUWUmS9zzguO
MtDZHDKBdnRm7+1IMe/1c6MW/3MaKj4OPDrjrhjsigqGWMOTgs6g4XL56hoGERrCBpOvpy1qfsWd
zUVaQ4fpADKNsab2aCF5g8igFG2FOtKtabxZBAp4NYUhfuWZcbkLMuivl8nyFVQEpkS40cGtPoSL
S7PJrDgf2OHEO5XrZhLGrNsL6tiMRFHlEMz8Gv+F2sMNDedU6KnsyLUwjLBn1WdShZX8r2dNqxzp
hhf6ae1xtRslyuMz1T5uQYnpzEBl/w3jOdR1K7NP1GB8r6Vjsn9i2eZuLSJWq0VlZazyy3Xd9NNM
PixIKCGZqFRlM1fnzTU3Fnkw8sywpn01Sbt+Xc2YVc+61zY8Qr3yYCWhlp21SuydSK3MkMbYgajt
4qMp4uS7PTrgTXAZ8cSt8BgYKP6N9nbCaACpauzMRVZ6pD24i+6eKNgkSY7UNxtvGNoDBJJhnxMS
QuylEtLp2WI8e55By04o1xt9Hi6Jm5K3gDMca85hdQA5ZBw9I5bAV9EoWaJA+N0uysTydmRm4vkD
NDKTOB9v6j7KCtfbOXNv7nnl+BlxjHwvY2e5iUlTfI88Jdt2PCGszlQ7y54NcYBg5RS6Gcx2rT2o
DHhiwBa/9HZWa8mjGQnt61Bb4hsKckBEnCp/VLnsXiZzIiiCc5V5MWooAAaHMnQi3vQR2ZGD042U
3Rhcd5k2u4aIjLOwZHKHxA5CduokH4q6j54goY3EzsJa2Wad0A+zJ+Y7Zkjh+1hzs69VM/M3CTQG
HSfl0o8ellKjYmXoMxkBmVUt0hx//Jnt8d8Jz58mPDTI/1GX97TG7v0rhziFvfrRn1Me12MyY+gu
1FvaTb/I86x3jBwgmiLD/Snc+znoscQ7E/mroIbEn2YKl1bPX+o8IB10ZIXqfJOYR+PsP/GHo8f5
pWkkaMYAL9Vt1eV1LKDAvzUJB1K5SxaS6ihH15h2fpzByy9LBEExldreKU2ASmWUelcfSAw2pKRM
7iZHVtsxj8GotdaAhS9MrA9OF88PlWOWT2PnhJ9IGwK6jhS7xkKyiGPdqpVdxQBeKPTgHGQlT9ck
ye3b9ppMqYot8tpvPAqFu8yoqNvB4FvnYWlynho/QfbTzjP3ejY4sdwuY1r+6Ap1FnXBOe4zrbPv
qTDlQxaHiJIqOWo7vdHIUA9npBl8BWW61SzYZKdRdog36CLdUhuFddCb+GkHyrTzxJEfNREWE8Qt
zfiqF7ypLbTx/juvwmG2tUvfCMKBomPj1U0S8xfn85v9V4alg9rC6atsl2iTOCaMftwdYrDiR8IX
fgSST15LKejtGEsSflsc0TSbDFfSh3rBnBKEvLMPdi26D+WkZ48IEtlzyJK5n4awfCa3urrvu3ac
L7KRkdiytWMUAa/j4d4rciMMdKOpkB/EtXcFQTSjUqi5kKkRks2nW0komVBL9wpKrP5kRJ73QB8d
HZFcWt3YhvBMSYvIp2rvekW3oSF7oo6p7zMQhg+CiWd8k4KIPHZcvz2R35yQnaQ5LHGs3DW+uZdA
VNEOi7J6wtrmXTVOeXeMAygNWM6OhYFNtwhb3KQVmxmdF+us5TRFJXTa+6xtUDIvdjHvHDc1zoz7
J/Z1cg22iTBFd1y0ouczG9beKpPmy7QUzWs7VOaHWp/JpPaXRjiBiJj6GBr0FggPTCw9+rZXCQhv
M8+2/2SSsnuVAA1QGkjmfYEYrU9miAoBSj14jm0fa9NnD58cYQqGf1PXlhvtARhGZ2qoMjnSrOyX
0zDM5sxGOWjUhhp9VVBWiDZ0jDpYsyw/7U+gwQTtmakeHl04D9lNbEn/oQbqYW0QDjrvS2O2b+M3
m4y1ema8NwONs7ppIrlaa7SfRpvVdTOvDpxGmXHQMuHLiVePTsbQYdxwduL8svNcz9tHHOIx9YRV
q/XnfnX75I1y/ph1h+dH8L92UypzkBtGGp3LtoOdF95y3h0viTITxbiKaIhHN/nqNErfbEfmmwmJ
zpxbbl1lThKWnuA/x7+kK+tSqExMurIz9RZCvGaJJmpIM9lqflzdYtZudh1OKIqKeJvktels3NSk
qMq4h14cJ4ycI4+39lwqUxUiGfxVA2rzOqCRX28TZcBylBVL680OV1bJezjOOgPqzTiYw3bupbxo
hM6cqkEXW5Q5j9XC7CXtwlM6Gl3ge5U8T5ROO5doxJ3dx2zMlTxMmq2RY8hKk4dt0AD1ooxND+Bp
oPPXvXvXzfIJpkC0daPp4PWpeDHadqauHIaNauffT56OpgMJ1NiSsq51GOwiu1Gee4I4PBwNe/w7
QZeK8qKXdfcdicsd0srwtWmz6chgPX8q6b3dp6R207VR8YR5Nz7AhrX2lITQM5J4PtjOgnTQmw+5
rfdBHHf5fjYyDLsaP2VkcwYEqK1qfHrLK+WLCPCL3i91e9sjNKYrExMdD5Xi0IQlQlQGmrdtG073
Tpd7G04tX1BaNocyIUA5Icx7jxsCpmQouqAyzOa4VBUyk3HUzilIjcuM7nQzuNGniv7ENjJiiAUu
bkzTH6pNTowltNdmOiLN69+n+Ba4MSbtELXyx9A6dIqwfO76du3FmeEnCzVmsUFVRNcytQuAr2jL
TwOVXHa0CltcSqgXe3JJKJvqSI2hB/q+SJLyQGqaex3q2D8kNCMxiNOy7cmQ5a5wFvdu7hoiPvH9
JOnOaxKVndmELz7gwJ0FPHDH3hvfASRpvpQVrUsUa0n2scbMuDeIt2cMhLCZOYB/qBbasPUU6h/8
NtJ2/QgipZrKBdQytIO5ocIoyKO5WvyL286R2n1Hyo1Lp1MPDB8XcdQhqGwpgOVmAHtonIVMoxs/
Kzx/E5WioQWUDG6QmValYlISpOETeZuCBA8EfIZ1Z4VEQ+Ctku1Gqymh3Sr0Dm7tcmBvoxyXYTRs
Gm3QXvpa7z5wx5G6mgxTfdGt9tEJ0+rKKEO/s9Ks3Hq96g/n3Ab2tNel2QUSSN3RxPcJeNTWSA9z
0+9WZxffh6LF/IHjHZt/H06CfdABUuGyYwcpLeQtWevG+wrm+GPsZ9436Q3RrvYbMgRD85PmDz8Q
UEUfHdORG20u9aCzxXv6ehrW2i4LTCsjYMigg77MTfg+am3AsOknNJRfPbMRh6Uin3cJlzGwkvnj
TPTvts8rc+u67eemyLPNaOn0BmWGxNSsv0ehUpnDJN2a2BqPI6kUVUARZdPCCo0HotraXdZN2bU0
kLeCwLspFqTzRW/qM0k6Y9IHU9xO9a4ziuUumvuQHmb3bUjjZ6ieHKU4XySLZWwma8Qgyrh3S/qI
2RDhyuKKzlsdZhp4mnbbbejxWLu4DJPPwEmfNdOptqQC6Z9i08Vsk3ju99ZoH4fR+BEWYA4BsQa+
5r6W2PG3jaAylZnunv05XG5q6MUblIyvVbTU+8UfzhP9JtbOut7Rocm2HnrPYypnCK1jfRIzUJHU
Md4n05zd5NzzmzJxjD2kMv9gprgxaj09tGNen6tePtkL4EhjYdaZjyIgR2z5hq/cDnoLH0ToSSJO
uoVrHRYWOuy5HHekN5GUW4K9lQMJM63mfQ0j8yNy9/BVR295z7gSg6Ynro3Rc1+Jr4VZGCdoJd2u
hqB2qUtmKUNjfneLKeBcAIEna+LtwFsCvtNNR69GXtqhHN8lxOVsRs+JD5xY3EeSXqJtTJD5Xuf0
eG+WbvjQhtW55Uuv8vaQxPodHgE7wJnFLWp4ERmI0qTZlxp3Vp2+l1ntPIYSRR3hu6CrXbOsHoeY
TK+0g902Yh13IiaWbOmomztnC4D1pU/ho3DYbIzyHrk1fpDJv5h19YN51LExC7LJNP0evfc9g3QS
d/oO5gWE5Lr41OZ+ifpePqO4f6iN/h5d8y2nNebtzkI3pMfUPjMB5Aw4KB0Bj7nwlBZSWImg0cDo
/KZM6UU7RVPiH2wZiaKRxwlSLA9mW2Zv8+T/Fn5/Kvwo3xAM/HtD1vN3+Sth0Xr7iZ/1nm+9E4jU
LSRtDkw5VaD9H1Wf7rxzLBNfELI+MkiV4eivik+Zrhz+FaZahBCmj97pZ8Vnine4bYUSSKwprfp/
lLRuAG//teSDfyUwMyvtGc0HwiqUyOlvIiaeF21sqoqwPZqrH0bNdjcYi7560szvFjyHu1gzWLaK
Knt0J+8Wt+f40RnT5qmutCcc2915mB1OTZ673NrVoJ3m0HJCbBuELDDe0z6TKIMW16n0hlg7TB4b
IUzGDKUrZutq20lmYmBifXNPi9HCT/btRa/edyAcyI4jW7uy0Ev3dX3r1S2Cq0AH7yQlTbWxL2w6
QlmKw2VBFMhwg45t8z73YIzgEAVLY5xjXzrM6s3Q73durNvdPqbXVJ97Jts562GZAf+BKzzDCUoY
0hhnt5rNF3uOOrJLl8qoBAt3KL2DZ7qzOA00LnUW2Tlx0+eQOTTxpIabjc2WHMLqM6Jv75vqk4FV
MymMmh02Bn3E547FX3+iskprigrcl4dMVuYFtdXSBYPjx5cwNdjRJrjd3Z5JXDruliql0+dV6bGI
GK/LMukJ7iqt/phq0ttNSMJe55GEKyz08THpkqcoz2k/yyG9bVjAjqk5vaRVYh3SfsIYUvjREbY5
YrSmiOIPiUwoPecxOZGIdkuuAcTuYfjQRQWI67x7sAoZM+AefarjyPnay3ACoDy9ApegPGj8IJPW
iWnBixx7+t++kZ49z/5CI7rdWWE2PAFl7DagpooD9RFAnLJSzljQx27s7j2zPKAxfByX5MXJTVpn
SX9ZumraAI+9W+LGDQDKvlZFx9yjKo8ZM7strl9U9wUyzLl2LnWtG5Beloc4KioGCdlLzcB5O7Dq
77Ji/E7n2rlFzRg+TH5FHqsOW9IfBrgxjHAyVteDPdoclpfx3kwtZzuOtNyYMTLRnMb4holpe+v1
k7lzha2f3CpJ9qVcxIY4KdxJmMy/JIM5kjsiki9e3MizpCWxqxuhPdLjtzdlGn0PrbC6F1r/xN4t
n8oCuDoAmIStt06OSCqg2CW4zaxqxqpeimHfg2o9sS7E+xZh+D5ilBqIWPMPozPRTwazQSFbbUPW
jk0WDUkZ0BL4UlnqSCgAg2JiZzyhF922qrAGdmUP8YIh4EboI1BhrYOtZspng97hhhHyC1C107IQ
h1l0dcPRUvsggNNvrEym57gRfqDVdvLDGkT7aVhc9k6QohlDK0b/jfO/2TuzLTuRLNv+Sv0ANYwe
XoHT+vHeJZfrhaHO6cEwer6+JhGZeSWXSrqZz/WUkaGQ44djGNv2XmuuLVxNFJdqLIYrh9w+ckmV
10Ym9MtXrDK1yTva0+2gQY+WRCofebct1awdjUIMD3RQJvextAp5RwJWVQdtrLIbCRgWfxUp7rEb
uxxjSJ176pyqD3tYD8mB9q5xrodEMRQye67GwsLDH0/9l4GZKP3icbzDE6KH48iySPyx1AMsZ8vX
VrKp7hLXWs5Dn0FT6QHL+gdSA7I5RPYh5rDlty2wWk39qw6QDTnDFNP3mochfSUeHlwcMXwthzHR
yukGo2v30tmsFmPjd697fazEVVr71WHKUNikrWYcCPHkkxXTyV1y50BXn11ingxCRzkz2JwNAlOu
aC5ka+5ifyUJMCFF1PDWDzMwiPduJuebMtc+8Ug9G2smyEYtGtx+nOS11rrJhVFEdKvzq1rLvsad
p6LMkNl7ZIlIrLAoZteGWkYdlMtqRqte6Xc0sN61pVF49MZNmhpW2Zx1nwwG1xwvDMnlg2X62iOJ
RO4ng+zCKCl8Us8qn6bykKQ8xtNsGLsYKNeeQ5+4duKl2fVxz6mv7/sbcPDNjp9T78kDXA5qe2oL
QLBgdkAzxYggd1pbpnDjx7sytWBlL91x0kUKRbpft3fJisQndup7fIAv9dDYR2us/C/K6O7deYPx
d4U5Hk2vByiYV7DahbYzzPFkMZCNClpCJM7qsn+NGwIrc63XrpbBTuESDTppemgrZEOc4UKM3h6p
IfuBt9xkk1fcrpoYr5lN50G9DCR31mCQ5o7si5Gp0o4o3+SQ+tYcCMxxzLdzNGq6OpDso9iD+2t/
YNdaSWsJSDZiJULTOfWFZQfOpOzN7fUweNgnC4+WYEMSHj2Xxj+2M+OypYXHJcaYk/XMIM7xqy+L
bFDebVF5g65pkewK6D5VAwTR94zuyc9yP8I6tkSYnnxyjtqTryHEg8n9OrfuO4Jim93qT8NedBKI
4uIzZ7Y2KHo9p/thqOYzuo2vnIOvKTeHK33G3LtiIwtLw61vcR6IizHzxdZiyfdT1ovTShv6qKFn
DlqJA2+kMwyfB/MakOIlGBD1BUZVsN+1zsd15fRUkwpJvHD/EXtlwZAIrZC+1MxxTAyNEnnshTVA
hHJmpeFUFK+DU/r7Wa4fE7lZ4lbO1UG+2DGTQTAn0BbY+sHefcb1AnG47NVdzPw4TOnl3EyWN/Jy
N2TgiOSl0e1XTpzfrD4r96VNwTDO1nOlBqR3RUekq8ePwjCE35Kj96saLINSPy8ii02UhOwpvQNd
mt/7jPdOwjPWC6HW3Aa3INAlJnJj5OlilxqfPeRQodWbj1nm1OGY0HzKZ4993cnKz0bdG2FlILEZ
rMrZozBZwtrX6j0BdNXFQHu265cVO565fO7SeAlGw3GDiZFVMEH72gkOze87Yax3BRNZbuiKWCpI
3WGuuWGSX3/si/yFx77oaerU3lPr2vxdUyyPaohPDnTVUCt9lGJo0u7sPs5f3Nx5xIYyEXST3FhG
0x3NwUsQJaW53NkdMzZECKn1ji4lzjCbs8XC/NVaY8dAvOgmfNMjjL61pRWRga3TiZ02aL7NNS02
vufAkHpzi6CqP4p1do/ubHsfp6ITL4OAviXj/nYVppbvRjSox1z25q1dOSNN8Hyu2VllPwY2Jm0f
kyj9bNtmRYjqofV8+wHAUCdCdk2NEsMgUMi2uvK1U2S7bQ9qwneKtWRjTSnnIKVu88jUtOCPHHJX
MhwMXvNM6h8luqBtTHbx6A5+6BxffK4TbOkTDKcob1JiXBLzK3m2Nm24zPiiM9lFaAGXA+NpNswn
CQGlDbIizYdotpf5iyi9MpLN0D2uk2pPMZvnNSTT8gB37G516quYI6IbjbwO5qOurTnL2Rndr3Hi
EgFjdC4Zm3b2bEtlkQCV2ZGqpnJnZ6YEDidXmjktPeWmN5sHhR0QKRe34mYucOkGIiYUze0ZYkYr
4h+UTnO33NbAqg+JrvJ97E79HgeIsZP8XodeOdohx8ZcHVq3zJ7ZzYpnXnHDhxJc/2OR9/FRwJs6
CXui4o1b59zWIwy0TOviAozVVL5PDOb+VyNQ7MBfUyh9sE2bIBVTQX5A6Z+NVo2ITmYd6rVVS8KB
ErFbRafu+3Xun8kQGL7achqPXtf4VxgF+1srSdW7xrRVwfPXoEs2CT8tqk1xSHW1vvdVT8wwx4du
ekp0dtiQc9IA992XJoiXUi7jLst5Hq58z0L75MWl826KYTh8SMBsrhGiVN6s3mD5PIgKKjpoGDr/
VmE5N8zT0xdSUmCywYF7LFfI8lGH2u66rOfsJa7seg8ArbJQCswlHf+a7GQvT7zAAqnrBV01Vc8i
nuP7kf/0OFdsr6ryHwmKqinC2uFzXdVNpKVuvnf6NblSNSVpWY8tsazVWD3pxOUEpnCNw0Q0+iVn
yr5fKjAQYJbLUGpryQhGSXs/kfYNh95WzH9XBjn5mBWwkvXhUuHNDiwjr1GtzMmdQZD58oAlXDW3
QNFn7JXJLFqnCHGUGBQLFS3SBVv9MBgMAr5SbmY06kDftJP1CP3NKdDCDEvjuao75n5a+SB+lxFo
+myhQuxyfQdKH2ms2aXso7NXzpROjnnsU8d+3tzxQ4ThE/ipKngWP+MziyOBBCK5ZOMI8pwlrPKd
4SVA/o2BRNYCuiG7T6+ay9hr8jh0vv4wtz1nAb3VDqvtpNHYL9qZ3qo8KdZkhD4ru8jczsKYif1r
pRrri6i3hrnKaFcjIpNPXeHH2YuuM7ysLH+iy+jUEIbXlU5l53nfgFwmR2eoKMF1Jj5hmyn3/ZpP
YodFf7V2PpDifWd06yfMLQjn0DEFJefjxpXigGNsOK9G299LmckP6WzhfoV4f15lNoVGZcnITnXy
hfW0QpRTdND4RUx1QGoP3bxxA//nzY1ltSQY8Tu+66gid0wufBTaer5LeNdRnLcLilDV74bSPdHr
HaOGg/tDn2T+XuEo+WRbs3UEsCmDmNFZUAIRBpLUpIcsMcdINTi5zKxy+Hq7dPpc+tp4KA3r1kQd
/1XU6nZzjKNBQe4gDWM5tnrZUkoNyaXgSEuKMxnHDJOcdi8xR+xaRhJon1fczXqepbsprmDXlrzG
41krPnbU9MHG6DxqWWxGGjg0lG5OTUZOSRcMfvQSWvmmSYqtKkCzo9325ro8yCk9Dowqr2ewXgzv
cGJTgWsl0rE0/SalY13HcZax0bYJ4yyNZ7dj4x9kzmQjLcNVIZBTRT/y0pmW+7QX/g2BAMWOWZ1z
LJzM3jGlYsMEKHLOhH7n4cMP8BwD+R9k8om8qjyqG4z8FHatd1NoLfL8CrqgXsYI+EvffEnQaON6
7hClVVlavWiye2lNt0Di5B0sZCgiaOT4VSCDPnqZWE8LyHXu3wCeY7T7IZgxtTPSYTaUuziynbX8
BC8HHArfFmDP+QP456s08SLiFL/Wefmhy8dtvQ2i2ZG6VTCgNc0dMadGUJIed84zZMlFN5MBk6CG
p2bWIZrUaIp3asstSjBcXxonr1ktnXvQiU8KDWVlFyQrxR39ByGiwZoHbzdKMd50PfU2QmAjarf2
z+x18uS3SFtX0sSPzP7Ft6nmiJb3+XisrH6IJhgw93nv0hGQ6kufzv2ZFJs8EPgNzvS1ojRd5Imh
FyEeBmIihqPj/VqkCSzb9jPnNUqxpc6g2ax5daoHORZhgm3/meEC3I5xujZRC7ynlHrKtLYNXdW7
V6mDNKGdVwrHJj3F07q12QdNRfU4fPT19nrScaikufG+1tjy8tGy9tLBwzERPfKczkRmw5llwC28
MUTZaD+tDQlh9loYV1i8LqhqXnpJzNDSpY/K0V+xxVH/wYFBgy/rx7QxXsxUL+mt19ZX6BoqEoky
Iyww72cAfq9SVtq6T2oPuz5dD4rvmWj0YHWqB2/pBQqhJNejXnrxx1EMTDzmcSQnxF+mh1bXV0Zm
Xsw0hwbEtLc7REoU/7TLrXK2D8Vg+g+4bG1yE9HqO3y82EVPpdJe40modo4oFC53Ssk1S2aOOnHE
VyXda5Ke5O2IFB6ofQH1wliLTA/A0ZZQSr1S73aDSOWNoTveiX/gj5BuvRqJ8WDlDZuHl6VnX4ri
vNi8XHGtf4kLCNOHglSkHUHgTCRcpNZ2OZ/XjMBbTegY3PM6LPUeSL2x9QJlTUvb3+RVusOgxwYb
HGe6fTBsKmESxtgSnFmN0zFvhqM7th8Tbz3PLPgQBCOTnUS7jn1mr2sJ8yJv3bPUx34P4s3dkfpW
nqVN+6/1RRfWlPohlakRxlZ7Ucl4j9bxq6jIzBvixWboX9+3lqwjGjPuqSaONXC1Pj1wdqGBuFba
LVrM5ww67hW6TxlNysnCpDTrQypksssaCCAz2LxI2UN3qvtE0LnogdMUcEyn2L8fNHK6yJvLwrRZ
PhYJM2ejX8w98B2wqr35GZes/jh5dhE5M3P3MB+a6ZvdueMjex9xTY6tQle0w1m1NKOEnocwAaDK
K0+jz5Jlxk6Jojj6Tn2NzpdcqNW0SOnNJgA8LnANxg0iLc4t70edvHewuYv81CEqf8HUblZRoa3r
l4I0yTnUl0L71DiVunVFqR1zXngKias7wzDN1cUtOCKhts6x8GYJoxXwDCaWls/UWTxaiSS0lMnK
LfCe+Hrt0+ELDI1XpAcLXOlU684tbeh78B8xfiCQVKHMxPTOm+3hzjBSa71Rs9eQ9+BWzYEu6Bby
2JsyWlfiv4ingTbrFNkcSTRHxNeui9xnDLA5L8TajZ4pewxtXgbHLB6flsR+R4VgP7Zx0uyTFr8b
zwFCEjg2HK6899NmAMLDajwmwNlDuBq3nt7Fn6oZewV4XS+E3IhModzi6q8mg6LmUjKmD9p+TK+o
Ifp5n0BuDRFLOQM0a/afwOmFzA9JPM1bkwiJ30QvjJqmcvSg5nBDeTc1EmQtwZvvlbRaDKMeGWMp
skMRDIIe3wJZP1zYF14QG/rmDbMo8TTyA4g4bIf1eSjgKfMYA/EyaVDD3yY/7doc5HBxWT34xeXU
H6a2zi6rlCQo8sJCr6+GhIppmeCGGH3V85rfKiF2mRegr+5HS6XwRIsh74/Sg5/fanNL0UowVB0k
WjmSpmPOjwQD9DSfBJMyUhiExzeB17r8S3iBGSaJ6gTtOBFAy/KwIF4sYM5W2W5tZwKa3Y6D92zw
iqYErWQ0mvJ1orzeMSK4XzTKenTX4iyRS0VoSacDlPP2fk5G4znPqcAjVHUV53Vbv+vaDeyLHMt7
6GzF+5S9rLkrV2181qxsOJtpS19mSxS5VovWPxdy881U03IwJJwDDq+ded/ZngtXJ+b4ovTYv9K0
FK9amRXnvvPGR3TDNEPxovKUNjXbKoZAryaToUsRqthdzkM5WbyxhomuYGAqP8lv6PD3vE98ZZZX
uW4s9r53Jptvusp3ca+SnMiL7m5NOisPnEUaO5M21BNwkeScw3gL6zJdXkvsMS+x3lGoYbBAl0yD
6Sb1EbxhLMra58Gxm/2k8dZNGouXGUsq4rCT7UTS5QepoTsBz1VdKVJlT+Mk+p0knu4i9bruqOx1
cWnWZnrX5xDl2WVR/6JwskKHlCy2k167l0Urb4Dwe7hf9GRHWCgoqI4ZtylJiQ00NfXXXlmZH+je
QjpvJvkkqO8uCvn5fuip/mlnunRptPQBScdIgjhZhjOzjDCRXXU99P4XbdRBLOtVfHRSu4+0ZdWv
/ZFHw8yNlNkuZiccinf17MynabHHs6O5cFicuIxAtOksGt8N6Terc5f6w7Wm3OICJPYzNBUdDswi
9rm3fEqIAw2NzSQJVoW2oh5X9MrU8l7LzHjvKp1EVPyIO42FfkhH2YUYuEjp7Rp6Nk1RE1ztE/+L
UEuPHDSdOBEaalmxQu0prSXkqLAeFzU7Ky8yxrie29AH1gnpiGrbGMuHGX00c2ZeNjlhtQX9rLG4
aNhbJ5vxDT1WnUqjSfc68pzNEHhjFyv/XsT3nTkvtxO40sAYi/d+Z3wwEzZrW6t3mWWuWxrxJ79W
TuDjGoimKU0ikghEVLtaszf0wjpOFhlUSf6weoC7oCrZoQ+6LUiS9dZMMzMo8/ZZdm1+5yQIwzTj
SGHVH8bVGj9qM2MQw9Q+mEInsmKlQp5JjjjgbYCI5w2fKpw999PQ3qO2K5dANB6vdlT8UPxL7dYD
zBaif0hPbS0MXNDaV0tzh+vGqBXontkKMsZgNHp860M/MWtPqvkySshVqmyf/5rF/t/Y+g9ja9pY
G6Xgfx9b3yDVSv8r+lQ0/afvmTT/+Iv/nF6TTIUWGfExOBQXOAnD4X8yaYSF9NjxCHxnq+R/MPL/
Y3ptbWAaLM78Mb5umzy/f02vAdP4MIZRycI4MA0Bs+bfyLOy3LcEDiSoZJED5DaQR8ODeAOCgFzK
7ja7xmUVtgVgMus2eU7UGAD0eDFqvUWvv3LLnjmUnaOn4eF5oVPlkC2YAW8bpXaJOaFgjNAqjM9t
E7o4Kq+bpD6miJnPXju5Ee1156oZaubddSe38Cntqs886PH0dB9Hsgve5SQQ1wRSYb7SZQuKr8tb
OiTdQhTEqu8N0BD1RqFiFNsCkOL3BgllM47N0mvHrKjVfUsGaRvfc5C5nTsU0dzHwGL7P7adRF3s
eEXoQqDS2ajJNvKjNGm/DrY+RUPO1lWNCpQVLILrWCXksvagnkaBwcdBOVZ22g5Eu74nzWY92A06
RHJzD1pt188gAnNEmEVGOW3tylndqgJpFNTnHr9uT6YStulQ0pdEdudw/Qo5AHfKIlvA8zkdDdmD
S+QeNm19JYyJttzULAQ1STkekz6/VYsv6BsXKzMrjhqw3GnWCYkKSthmBA7bJk19oD9PUN+ZVIfr
VIchD4XzgSkm7fHYPfjVcJTWhNiINFomzY0KLcyCkRGLg0bRyYB0eW/34xKO/fYh0AtE/cCQt1xQ
zyhbc3alN3yuOgYm81ydZa1nV1JlS4gBades7l5DfbpH8FlHQ0ELMLNdN0A/fPRj/9wvjQi9gsFC
tsba+8UkqIRoChuhID0WwDPz3rASP9BGAhMNaOhPbi7XUwedEUna1O67Wbf3RqeRPzALK6q3Fr7t
JYd5YIDaovnfMTv/KGdpXbWadyKchGB722yjoVNTYBKOkJqclmCftVFZarsib5/os72HXnlhxO/C
9XOsvVYTj6GLlbkapfhq5x/ztrcOeYOCdcrhsgk/p3Fm+N+YzuYRUCU7Yk08lR2FwMSS8FRy7zd5
Ay61WLb4nDLECxWOng7upNs6Pb19ao1c/7hYK8J71V3R6/mMkG7ezaknNwLrctyyy0MGyl6glayF
DJcLIllpHdOVjEULuyWDG/5doasPWkevunDnOHLqbgwZcLQH3eMbbEzf2js5vNHYzN8pw0mua5FW
e9P7nPidOJODy7lOOtpTSV24CSjAitLKzh4YRYNpoJZkSo1AFiaaehL17EW66xcPq+tZUdet112v
yr3HIHtnxABU12Lg7Qo+ZUdkZxL0hibuMkcRs7gW1Q6kAWw7yKlR2ptwNxmgnHRkkWGWeCNCtuTU
26NxhXZ7iDTCvd6hUeYuErMdGdAFQyfxp8ie0PMJe1N42bl4t8SWCHqNVNJqbNd9n0qXN/RKC24t
6sdCM5e7WA7irPcd+koY6ahpJ61Id470QPP2FXGmZV3szKUr9vyqHAA0xu1kilzqhr5/Uzg3hMh8
zkZy7cHMQUFtXXAm3qhF7sr9lCSi4TEr6eqb4hWdrQfKrrHPcmRCmTv9o/CyE2x95+ytW2yvsjfB
aIvqxGSE6AOUXafSiSyLPjpikC9DXz5keGlJGbsrgXoEIs90FNPat8pal32p1ivaNpds4r+nzXaY
HEaGtVXXezfRFC7RThJtDE4c37gX6Fb2qW0SFPPe+tg12ATxkiZBWbhaMHlDH8JDWnA3o/pUdcuS
4jR2vRjufqiMT35Lt9XLcjMcgSs/xgbjnMr1dxAcA8Gjdpit9tvIPIwjPqmdtsrNgyh1/Qwctdjn
JcCTYnPy0wbkyO9X3jE1xW1TGh8dp7vkiZWfOnt+702I+dzM2YC7pnMaRFY/+f74jGQc27F0vzkp
loUx3vSjSflk6EA1rV5tAgeIXqoK4LCW5MM5HKoUg/C4htiRemHctq9KDSLKfIswjXVoDpY1ZFFs
w3Zup768LHBpD9aM29Y2Y/9Y5pzWzPQjrgr/abGWY1PW+tXq5MN+NJYWSUlJBe5xxXpdnwidyu66
wrnkOi+hmajToJgY4hV6Uu7VYANNruzHLVUvgsOQoWPuTolqEQGNphYk/UDbkcZqlFat81IW84cp
HmjTLO7XBjVMkCYl02WkFYe5njX6XzEnXnBItz3TfgGuOGgta/vFp2tJoHbY24bEBfLQQEnaTU62
n9tsYjRmlSc91Z4HX0IU1eavJqd99sJhOHnjilc/y8irjmMMAvOcncEcc2bU2OXAUSJXVV5Fq9kw
UYCb9j5xJ3NvlEg/MTnqh8TNn6cxs0+r5kGX666YrDO/0JJXU5PuGS9pvCeyBpWHRB9rI17Z6VYl
ICzScm2AzwYru+pe0QCIJm+BLf2ZSSGMbSujYVmwZrXWZwY0QfiR4QwTu5ne97Q5XR7FlrkJnlNW
X+XdxrbyJyxLKYlpPGRNXtmdiXSUuTIuPukY8TtzIIeCbsWyAFJImM9ivicmqV0RqiIggEXwAK/S
ddQLCKJ6rc/KHDtasYDTPddGg1Rm0A+CGnivUv8XvP3t/ycwVqeEpdT838vrfQmf4OsPlfU//s4/
KmtP/Dc/gsJaeH9b+uCt/ZPT726yUMcGg2hA4odq96/K2tSprJm0/FVDCwM56b8qaxCRNsU7OlIB
vNBwfPvfqax/hEfhA6Tet0jLtvGfOxzz3tTVCWNgDo50Xw1joAQglg4jl2VAkbDoPJOLZKv6UjhI
fCKfsUf03b36BQPyRyKXbQuDnB2Pah6FKx7JtyT+tiU0EVI2jSw2lJ27VM5Oz4wyAtdbHf+DS/me
TRYLu45wthvxnfpVmdiAdNroB0sHOFEajNoYZsqd6entf/CpuJW+6bg6X7r5hha46nOBKNDq8ZbP
yPjNtY1U3xdhP7vD6fef6sdj0d830OQzWcJkUdhvYX3oMYcCzUt/8IFJBONi3NdqcF7nERRIHeec
cdjJW6SzSP7RDf7+4qzB73hq/7z45mJlFWNle/M5+zmNY1P2/UFrLKBn+Zzuap3u+++v8vMaoRyD
boqi1DEYvby5Spd4JgLEeDgoOKIcB4yauaqN7mncoa9nNvf7y/0ImNw+lI3vjJEaRFWWyV/B9d+t
E7sdDYY9RJclC+OctFDfYBe8egk+B72srqiM/pQ39fNttA2DsHik3puD2HljxY3TIodq2QxkatK8
qWOSJqTwm93vP9d2m/4fwvLvz2Ug+oZrCHDVNrfb/N3nAnsDC6AthoNJuENgatol0bpb0ElGSJ/W
Dn5/tV/dxe+v9uZLIx0bwgyZvgdvnPQgxtSUjLSjZf7XtNinMV0Un39/yTfwxr8/IQ0Kh6me47Mg
32xlS1o43jTx2OmpY91ajYV2RWzKKJyAx6HB9j+0D+64eJhLre4rTXyPAZJ5RGDaHMbBH3fDbCB8
nlz5ZZ5N9O1kiAYGiQuPK44/YLUJTrt2/cPG9DYpZVtxprBcocMD/ssH8OM343WJYzSoKQ/ZNKC2
teixusE82yMMdBOgeqeTw0ZhEWHekky1Z+sjreT5bgDtduP2q0m7NfFvdbThf3gW7F8sTRPTwl+d
F5unfPvz7xYN/B6nILOvP8x9up2f7ChT6aaddfpdB0Lo3ZyZ6PQnxy9x31CSzDXzoy7mbBZVM+qu
UdQgl2Dot5i/AlOXtDRqGtc1ecFXyWCoG8NZtdNa0Nxux76PJhdCW9srEr2nDDfb6NFDMfFGKVqL
e2yWjNZN5e0G7Jw9B9MAzQAAl9j2g7m0r1KreDdMXndTWMyEF3Mt9jR3aJxq/S0qhfXYZi54Jqs0
MRyW8UWki3jWMCAf8AdokGyX12IxH3oPXYAP4/1Ivl9/y0+u979frT8/IB4rFlOIDdcZw8ibxTp3
iT3Y0/ald+mNVjAzgXB/0rP5aVhJE0G0qf/bjyRXtDfkABSBbb/58bv01Tx6pFH2BxXHJ72jeaIn
X/zautBLskDDOB9+/wl/3rc99KHIPnHEEE5tvNnWOuTYNd9Nf8iXEm4UZfuJYC/AWoiUo99f6udl
6sFMAAkNbVFs6IQfP1oyECswjQ1vQW+0rxqSDU/NRB/lP7gKjVDKFGAr3MMfr1Ixfqxw0/K6c5RQ
wPR87Ti0iXf3+8voPwJ4t32MT+PpugcAguHjW9hvkWmr7kgfydCsY2qDAoQsHeoeBw98aTHCjtlk
4QvXZDbrPSukyg2zjz9tSyYf58cXBqBqE9iEp0Mc19+Sltu2sdZsdDuOn6W7m1q/3MdT3u8J68m8
EOG/ddLrmXAP0Xz7y5qHapaTGeaD62pdzTODkPgP34Dxy9/JpS0A6sunZn3zWkksTdPi1OwOdTLU
J6GY64thItCkb2/iTg4helny7m0e5bLVltsB9WfoZMKIfA9NnluX30pCOW4KoJXrOn0ccg2la9bL
x6VGtEPqI7CGJJ3ONTEUmuj/VFz8+gP4Orp0Snqe/+27/25DjXXlVwvthAPtsYdEuXI/TFbyDqIq
L/3WzaO4Q9LDIa/njaWq85Kun7zMfeqU458GVNUhp/uRhmrj39PNbJ48a/222nF9Bnzm7yeZLNGE
A5Z3Rc8ZP2Mq/YfVuT22Py2L7z7Bm6eApgS/cLMA4IKOdd4oOWc8WHWUayLqM8UmPzjY43NxwulC
p4/O+R9Wwdu4wL8eEOoYIWweRt19+7hDmrKYFQ7dIdfSTWpSevZnyqo71+rwsPria1OO8zOThPRL
p0JYWglnZCONChOP65h0ewNVWKQcDHBTpk+IwI0BCwcXPMx2nqNXS/RvS63rbJXuo2sWO1vkTUQk
yzMpC+qoj7a4aLZebr74T+4oHp2FCyUWFFg5+Z39h3v+c+nmOZwGYbtuI5qfZh+24RH0krMhtHn5
XMcHUL5lpK2o24hdNf9QJ/5i22aYw8GQup4fLN6ck9A/OrVi0znIpH5FJgoXTB9zojwwU/x+KW0/
6c1K4koe8l3LclzxtrBHsTGgb7BZSSp5KnQzec7LDYQKMI2u+VJgUhCEp51jB1rr7y/9i7evg9vS
cU2TFxOF94+PIVpKfIK56A6Du7zEvXc3u+2DsOLX0u0/c+R1/vCC+qv2/Omz2pg/dYMDt/N2T/dH
rZuzjCXLMbx+GEzqHtyT0UISU2iO6zcRV080c+coWSTFjeVl4dglCM2oVn7/0X+5mGzH4s1iwgh/
+1rOhn6005Hnd/LAqQlJUxImcYrWvUmYruSvv7/cL17NDm5TvmadszeH/B/vtAOSjGicmS+Z+fkB
hWscroOX/uGM+Mv7CyTeYiVxe/HM/niZvNMT1LmyO3BGVqE3zqiH69wPndjTTlNHGFIyopbCfFOi
YGVuQTeg3M2jdrWuzp/2yJ8P5Z6zJSxwKLfIX3w7q5ywIGGpR/Nrjr3YpQkgmU6t1+ALyEWudC1E
HYGuzO3pMRaD+MNjpf/qCaYa4mZTt3vW27XWJ0TgmDSaQSRa6Wfpqm3uppL+tkN6h2PEaRwnJDEH
nYO2+EA1Rqct7UjkjPSCCkZwwfxhmfA0mElMrno/MHZL/pip8Itf02Oa4bDHkJOLAPDHryzVvGyx
a6c9OHNM2py1jjurg2FLLZ/94Zb84lI++yezaGQvZH68edyZG+J4VG57IM+9erXMBRJSnRLKqzmw
7X+/4H95LVaicLaW2k+7mqzlitLTag+2kal7wjadfbOAtcvVNp//V6Px7u/d4/sAlV9sYlS7tEUo
EV2aWm/WvEG4JrJJrsRYhxzBvpaPVdIaO95uBB3PWKYtEhD/sH388uNxvrZQomGYf5uEkSSi7v3U
bg+LoUP8tOcJCh/x80oY3R8u5du/KPeoNIRPzCk6WnasH5eIV2AzT1ZyQFGxkmTAHKlHEJhaE9yN
Kq5LxEydETnU5GXYmuOk7Tk5DvMOL5JZ3cOf4OHKSIzzT3G3lO8NCbuMKVLhDcBiQVgFfdymn5oJ
HElh4vDcJ2kJWrVjaJwGNR/J3CR80M780Z50dKfCXK5s4tbheRPTtcNJDZwiKVL9yRkMkolLa7aN
fa5Xs7MzfZkaZLDrWfXNyWmWJGDuhZNezegN4khlhUoxvzf6cmKI49uHNNMrxvFC6mecJ7N26NAK
dzd2VQ8eks9hie+dTi/rPf9fm/bVBDwcnIzlg3Spi9FKrj23tt1om0nm+8EGLDRqAPHPqtaao66Q
9yMPVgZZ1CmuUZSOm6DeavITaKNEht7QgONc0I0mu0outbogpXaRwTq+nMpD101+gdQAC1TUjDiH
rypMQoK+A9jNSOLeobjKoB98cjtoUIEb93O4elajHrGmau6Gf8yXuwlGy2OdWRgcFoYn7oNoKqYd
A6mnw0bvnfetN/sZlPSE9ABLJusKdzX3D7XiFUWI89b+E//D3pksR45c2/ZXrmmOMvTNM9Mk+ggy
GMmezIkbmZlE73AAjvbr3wJL9z5lll7KNL+TMqmsGIhA4zh+zt5rQ51kMoK27zFLMM2MRVmBZ3Wx
BwLdUBDHwu6WPu+uI+H1WRAv8FJAh7rT0h/gmBBiYyxZfU4dXbpi2sm6BWEWyDuB4bF3E5I7Zhg7
KMqGTQ6kZxd3/ckhIWiNe+Ytyxnme50t0GOMzg58HPBuY4DEMsF5Ir9t77cYSiI39fcuStwVFfMM
fyCKr1pXje+BBt/qdhPW06B/m2vfO/TOOGNbBPiTFk8obra+4ddfluBW5vwyxRKIqpyxo3UVlkVy
dgauB7sFqOypeBoZfO09w7pNUwxUjN3FUZAYsB6zvKOoaAPiPlxiIdtgvgX7eUQroBE4TB7/yBfG
23oc3OaUj2BSZjPHCMDIfJUlAmRUkJfQUFFCcmW/iNC9K40EiPQQJpAYmnmN7LLbCHuyF8eOeSfi
Qn2Fy29eyyTA1qDxdY2mbj58A3iJoXu1CWlYQy+qPERgEXo6KcYjKDH72E5M32hSnGyLwG5PWaR0
Ti+l2dUvMhWHwHOJ4ZhePGh7jKaJ2cP1+FL6iyMX5Gd47LtA7nqjFpvZMx7yKBSnVjjpBppLuDUz
1+A6LH7uLELpx77hLm2M/ksdN6hLu3FxUrbXehLBqhhnLMOG/NHWQAxx+6YQF8ryIMuw/3BbdKgL
E5cOVw4wCJt7V9WSsIMVleYSjFSlkX7IqxD4gs3N81wijho3AehS/JKaRSKLQSsozv1NPXCXZZPA
opRbR7OLJyL1dLUjECC84n+QtMkDsRWe7U3tdTgN8dC+TkkTtDiqbIFOZjO3dvMKWm5n4lBDtGnz
nfeBYVffxmDO1cHJsZNsyrABmjFVVgDUxvA1QPsAEcgKjpdnnGjPmi1N2jo9NA1naqVzWWxmDDNg
VwErfkLnRSnz9DhkIJS8KK1vrAE4FtNL5NAjILVTkrbmu28K6sko0kserllcKV6y39DZxshyphjE
zoDN8RrAr3/v9rn4iGjud8j2fTgJSvTmBuDt+MicqfxoVIN1aypb66scg2bDFs27RBKOdRrJAcNe
O+01FctDOLnZK0rfjpuxQOOj7fq0hFCt05HQRNt12me6cIxBshbfPugu7oTEieoXjDf1t1q5xMGO
Rv0S1HZ6yBqhMXqA6NqluC6fUVAhHA6qAd+a8MAQdjM4fiw6jJ5z4hs3se97xF3acCRrpP3Yde0t
u9Ko2eXsm8pDqSr+e53G/VMthnjehgCzsONDG0gBA7jANUpGg0clk2K5B43hFEdZcm+WjHKroOns
HWwpZTzJyOUnEjcPQCSGDnDI/Lx/6mGPD+dYiJj81TrcVKaaz5UGF+QmLp/qgPV1zRTtmsZzsaIS
qU8kcSSXbGghQTKYBFdeeZe44VHdyqoksRpb1m6oMLft4dzEF0AjfYAsLPEuPEQ1DxVXlyZ8fcrL
yL0ESaLemyX6xJ0BPLYp5zvN8mk/T2T6hgkn1WjcCd21Xd8qfI3v3rLDXEt/Rq9KnEC658ymBw/7
HsseoVZW49YYPbLoeu5b9a4n1bz0Ced1DoL6W2UhUVjNZF4zW5elOMV0I/ZdBC45Glrv4s41SUx9
FcWXMYVTTb1bltP3OSOoZ+QNPDgufOvBEtO1xWt5kX1k8dogLaZGY59k4NEAh6D/r0zrQVmTd0m9
SjwqP4lvfK+rvvq4JTeakAAsXMYsLASHFJFe59jbGEjFaWpM4kChxVw1JT8eEuv4GBoZ6yK0ByTT
/DXwkvjSRTV64oS4DBghZsjEwqmLY5MLcKk6oomzSfNBnMC58x+IPgqR9A6F3mSzqkAP8pzTxpLt
8zTRtA4DUimC2PXWQkzoKdD9c5d3iYJbkNnefVom/RP8bBhzQ8WXLDwwo6FuFBj/xL83YGgWKyWH
5EImirRWrSubl6Kexy+h33ZPphrzu3S53IihwmsPsOhd7fYcKDemXRQEyCUoMpKL23LWMI5MCECM
6cOcwfUZI057lPOhuLPLzD2S1SOv8XTxidWc31Gyj49ITNvv89C7xmluaIlvjRKJfADVDupJlwgi
Tj0Lk4r0UX6sfaMKkBVjrDdgIvvizk3Ycq1Uh3fyWPYIofjt3Ekzpj6WXt/lTmPNSi5FnlUWDtO5
+kJkKk1ccs4X4xmyr/7oO1Uo11GrP6rQYM/Um2W2rsuh/sC1YD25MfTvfmitH0CROtJd7LG+ZbWY
Pyo7U4QH2QRqYRPxuh+Q8YHHiB7Qm6EUpwXIA8h6LNNWs/IpeR9mAo/uIm2ymgV+/2NUYX2rhaTx
X9vqBn0jECBCdG8tHcYX4ddgDaMu3KRt6BxZx6DNTyhcj6S66+caxJ552xiAh8j0wEZ9rKZq+uhL
5d9bHv59ReQFi5hvB/RNtQMoUDjhV+JE9I0oVbzvi6I/uH7JpeG1ee00bt7B74nTL74L8FVJt31s
VA+ffU4+NICinWrxnGxEr5x3coW9nasIHlAukDzbgVcAW9UnclgRqMpEYpPrhudQYyG6s8oGUC+o
AgRhANJtMn/XhVHd68g9EzCTMos00T9pLM9DF2U3qCRPZpf0cCdVw2Fz/2IOpXWTYDvc+w7JOiOJ
befRN9RFgo+494VdLSBf3M06LeeVJRk21pZnHr1Un/ppKjYpz+YZenZzLeNAnsCcoGy3HUrAiPEf
LdS3yEvqYx4QApFXvfO9L9xTjYeUJS3kHw6sJ+lbi97HvRrHzH2m3jZXEz7Q92hY5kyV3iV0lo81
JACmZQkFaZ9V03M4DvGdKcl4DkZ18CuMtxHSoXiV1tUhHOY3+n/lK/xybBVBxUmysV6x0LPDWQdg
bBEV5Xl7zA0T3I6AOJfjOd61Xcfgy+rw2kwD3P8wN4GQ+959MeVMysGY38Eg+sAXUt56yOd2ozsV
kPlCFBBZ5T+i48QT3TrPiwmXGOLKWM8mldyqJE1xVaVDckYCvfBK7KNwZus9McWw60PD3Gvbmjch
oeCboedZJI9ZrwZgHtt4mvwragv3OXO9vfTGasfTxPpbZWxOY7+O9kvQ+gc4IfsZOax1E5XRjGih
dB9UMmbrkRJ257F0XZWiLZ4sZLq3U89F8vp2JLSSsnDVYLXZxuOofoBEL7Azxzq9qTPuglQWcboy
RklUr1JAacGKQrlUuHmYH8AxwPfRBYAxkPNmb9k05iei1w86r1FJeq5xXU3ZeDub9rNOkYvzJO6g
YCO+Y8RGPRZ0N3BJxSN4HqoMt9/lrIDZShHPcBeazbzJSye8asl+wR6RbBMPemLuNN6lJKq+WieI
8JhZFBiGp6o/+yB2JSWakfO8+fKk4jG7FJmz+LOyGQhM0wDiXhUGgQwrRmj9ORI6eylt1997Fv13
Omuk1KATo6PRpQYZK8Kpryd62WzqAqABq67J8lM0pOYd4v9TQxDMQfSL4LfNz5+Zma1EXNy6FXkt
zHdWcmj1NW3faYWG7WCNRvQSMTJlm/PWVBJHWeLN61r5PblyMgkRDGrrZZxISavs4N2a/R8Cl9BX
Ctbia9GWFWtWazwGhWfswCDFWx105e3kU7AUUwM4ApsdqdRIUxEImuOht8s+PRlONbibPjBbyCI5
eDvWDL+6GEO8pHFNkKPp3kC9Jj0JYCOhR6xBwGCyr2WZyVu7Dstbn4w0krUm1s8sGfT3orXBf0Aj
/l4Lk1w5G9T/pUYEcEIaWt1P8POGl4aCh+uWsschwa7gJWEQbFCocMlWIC+WlyWts7mwsFzH9COP
FaDYB8pjNqZoKd1TnI/td+g4xCh1LT2EdurKjxwkNojoWYuvJjyF95xgboHGECFtW4/iq50TgbZ2
RQqbWs2i/W54GIxx7fagxOfck/cFHmguUoJ4FyWt7qudGw00NDrgbdkqsTvqm0oW1X1CBD1K4rgS
Xz0LmDc+3BHTcpBFOexwkgTUSjpIXjd9y7fcZh5qqY1EpEVEuj1y0Cx1ZXuVzp5m22jK3sJ6jQgx
3lG78smIKcfq6A50HzeJG00GUKOlAsA4y09iLxVdZwD45MZvSmrWQvhcJTJTA39djB0m6KaHvgzR
LBpXIvbKD7vrOCopP5A4BtxSX/88mR62M+yPTCdTIGxL2GhggfldsZ2o9k7kxWu4IVBkaQVx6qE1
ynsP+ZjcF2lGtwdhAXZEmY/5QVk0gS4QZUdrp73Zu5oaXd17A4IKLiHj1vUgan5fHni0Qxpcz9lV
i4gB5Bsc5QTLmu4/ep/WKK4GT+HkIEHuIZ96ey87KZ9Lco5v8yCqQS3j6X8gv62dDiNdeHFxO370
we5NviNFOd86lYKL509YUBn/AR9ac014dmn9J9OGtgxnsSf/A/SttIkdY/OSrviy0fXU9u2PFHoR
sJmuISCji7Df7808tUdiwHl+4HZ45nyQtP/AXSNUX3EfUtB5iauyo+k39FAaRisZi0uKqZJniv02
72BeX2D4TKgvMuxQVdlkHxaXpHewdCwVZBFIW4Pmt5NHCxIZvOzKPDGSJmer7JzbMg7Ha6RM6dM8
J8MjZur+zynY/zq8/o3DC75NSGP0fzrDmzf99l9/ildv3soff//bddVBfHyTtI///NfH73//2z/+
6r9FqOEfoeUj/nLBI6EA8emk/kOEGi3uLqB8HsopRosMqP6fCNX5g/mcbUJroTZkTkcHGouUTv7+
N5sPjJBRQhO1I9NkGP+fiFAXNes/jwItBuKuvahQAwKqA+9XnRHd1KHD+N0cPSnoG2WZYd2ZkIDO
IfGCu6rOQgoZFZjvrRGIh4D6F9aGFCejSenyNHaPYSqwrivTl3uAMGAeGO+gCw9z4yEE4bwJqMHS
bWXqaG0l2XixpNH9yBrbumbxLJ5cu8Y+WzJ1iwlDO7MvJ2lC2gE4lZrZkRWbzbDXUB4OVY0RrJPd
ePNPl+xfNPN/GctxBhhd2a7HaeCcMsP6udUN/rOB7q/UcWzIz/BFGyFA7Ahl1Xr5XXzv3x/vlz7+
5/Ei+tWw3ZjAMBX5+Xi2wa4rznN1HIwGLVRcvMdsv9ap4Bz8/ki/jCmWIzELo7PEAJB+wl/UsB3d
rJb36JEltt3YGUVFBAJzHzoive/twl148OLu9wf9Fz8vYGe9aOqQGKMU+PnnsUC1Qylb8E1+MgHy
ogCCCmoHHm9Lj+b0f340bOkM2yxEqihVfz5aTGZbKsuM7bA5ePlZNrRRRr+xBrrL0cPvj7VEyvzy
rCzhLRwkcBByklb988HIbCuSMjfTY52MhbN2EurjTV2X1SYk/IH+bzJeuqazrgeChQ4zE221TVv/
301n/nqGkR2HzJ1MhjMBi8rPXwN+CHLtzsmOdbcYSMCQtbRahXiIfMXr/vc/+q/3kGdaxN58KqNc
Gqk/H6xBfOToxs+Oyprn2ypsWrJjeIJVovLkOLWplyHuAUD/b477r35k4Fv0wXw/Inz9lxEb+WhU
PT4vTjnUPb4YruaATYPdawqy+Pe/8ZdjkZ/C52MFMFlUcQv8Os5zSY6x+iRKj6lVxxtYCoCGlNkg
k5wG5/H3x/plvf08lmfZIUr4wHSZQf58PrNS+0ZjcA/N0zxYn3l3pyJ1emvz++P8Mgn/8ziOv8x5
P29X++fjAHlEuASB8yhMJHrYzjJ+lDvBVxC9490nKdl+q5FajPDYBiLGlsiI5E/ryrfx/8Q/qn+x
sv5y7yzfwUIutqhnUNf+RfDQT1aeLjz9I5azeANApraJrjXis3Cm8lTFITWu70z/Zj3/PIX/pPhY
DmuzBPk+aWu8Q39VJPSx31ezAK2X4A58bjK/PFHZTTcqk8m+cRSQBk1YEQHjEx7HtRiYgB0BZ43f
Lb+om2+qj8pTLqQ4xKZRnogk5x9zZtz+/gr9q++5cMuXGSt2E2RSP1+iHF/ZMAeGccDL7b9Doneb
dV8XEZeo8Af/IGldBqspM4KA4cSQn02cZnRQJSrSLq/cq0hH4jimoXMTGX4b7Pw+qbJNlURBv//9
d/3rXRsy714EyQi/llytn7+qGUld4aZKj2Vk0mrLKTlhabSt3v7+OH99EkPEQcvihgPgrxKo1GBc
IMAnIyKtZvKvln0EMC7vqiC94v73x/p1Oec+CdE/oGOjdRCha/zlR01hC/JpzFjOq4ZxQij6DaAa
dk08KjvAl/FaATi7sroxeDVKiZe4wsTy777Epyjk59sVUauJNQAtusPX+eWtUjTKsHkymLN1QzMd
g09osI5GRx2Rac23huOb715Chw4Z0+deJaFtnjLEDldE53lXLbKTE+iz6Qt+Y7tbQZygKVoXuiMu
layCc5G0dLMRXt3NhSM++rErnsKpmM9z0YywwOvGvw9qOjGkw3tXfWOy4MJatO88jNr3fqLMg7ZC
6zqR7tRtTJUaDzAE51uIV7Q0C5RUl7Ix9VsBFeQdFLk4t4aawG2MUnzQXfHUSZY1LUFJzvBhbkE9
7bKAHvnKCQgvWhlEUyFMr20CjSNhfQO65TwOziceBkcf3a1RuB9Fr91hU+oRjFtLo/scOzzZrsfS
YjV9+t4lLN4V6u6PuCLHZi1LykZMHWYYrwcyHmH04k7YD65JMSQDGgVh0NlbvNPBKwgChpGVlXG/
8fTHDKaqCDoNeB/jNrRb1k6z7YLX2RUehJkoPgfL37ZexdeYPMfdYqhs8bqmhfEQVc505j1TPJH/
NFw+T6/wB721ZWLeKqeGFYWCtICoZsW+c7KZOJ3zGAP+tp4XPiwCVlarzppw886sUCFtoK/k5HBH
Vibsu3VRgAGAIc25m0hkJ/LCNJMHd0zd566BK4Wx3JRfnBzG8CZz+ZwB2OzZ1wqESR2k7w1DXLkS
TTPF+2gmI3u12Fbus9hxHkPZw8QiNKU8lWj+34u4tHcWxMe3zKvJROKhoTEj6PDeeoMxQgzPaSyb
fT1e0sntk03gWunXwtcsTbNF/3AyXeb9y31YDpU4hV02gCZL6NhtZghxycYqq3kn+4J7KSj1fI4H
RgMrwdZrWmnYOLcwI00TNjZ1Tpe0alpn/IB2VWbDLNYtN9jWxE/2lgyxeajGkLvXy10Sh0UyVgcC
RkbGR5Xx4CeENa3M2J3OEJeyUx4W22g2UFY07nhhbomLNwusQzzgksU2S5KTUTW3sU7Soxk28ooh
sLtOy4LJtt2aZ8uR86mrTf+Av1A8xDpAltLlb7Uv8zN5DQSLCC+4lHOwz0l/W5NpOu5NLNOvIe3o
FfLcvQkGkfwFurimMc5rGBz2mijsZheNFWbABgz5mrNqP0Vpf0kBUZ0yK9olSe3shi6pThEPCQEo
naL9NUCMLvlZRY4OD64xXj48aiu7xeCsPfeV2bVzjsv0ApV16RsyGseRwxAgsp2dV6ePvvDL7dQq
+6qgMQIuz1srLYc9xkRznc9IQZOZKNBIoalIo+SO9MH3SNlvqiOpGnQvokoyhpe+mX00zPCFDhHz
dShUkBjHkLdap+yvpeOeZpx/q95ObxI/Rebh+g99L64qGcQvGlrQNqE1d2IoywLsLjUSbOcbP3Uc
mKItg5kUhoXRM/JFQHgNSHUKUauUWdBGdFBqci9+1AC0DpNVwaii4SMY2cdOdrIqt8IRZcTBdecV
fKGqcHH5YN2bH6HiObtxKAQE8t6OrjRhehcKJTfZDD7rRQ6ujUnMFD92tjncTxXCazisisE/Zv7p
nAdAjkTpBztyjMPvZHU1x7EArZQQ68xBqaLPTWzehd4w3AUDEQbO3HXb5f3jrUZYlrhQVF1+aXUw
rwOetOLoGi6lgI2Wf91M1CIo53kXSr9dox9MWYrIE4hdwRshiKPgoDK2Ph33HxDCSe7olLr7jrGe
WjfKLi+tqZ+wW9cba0j7G7eeQ1hRRRUCqfBzN1sa/uUVmM18J7Pc+2IiHN35QRc/6ywerpwO6Fgq
hlM2dCYsAthrX51sbLHO0ydDMcs6eZRRk5wcgP7xysYIdJj7khszo3Zgi1AYtzScg205NS+yCj2G
Erp/7VzAh9odc9rd0rIfIOEHz+MwR/PeRLm0njpAb6LqqMfkWB8UoLobFAP+bVO0gEWqSiFtqYMD
O+joEI0WfTJldc0PZYfhVg3ZdKq1cw5K16Rz3wwwxCPrGm2dpISRARrkIrotRM1gggwJh81/lri0
KZimGynABEtDWeaiRvej16F8SwSUG2n07rdxNtvbQBt0DeDVkB9S25uQBHIBAlTB1Y+9/RAYxc4P
db8dwtR9zKe2+hLr1lmVwsqOYB7sM2cw3Thlv657Ye17z+PGjuTZp32wFmVkfwFLjC0CAct1FMft
qlEzqAWvtphZDOTd0kjfFUwT3zrNT2Khqdd9O6TOOiQJjoRv4S3QLWljTR8Wokwr4idpjs5NZ5Jr
ac6Csj9yYCSrlkHIdgJWCTkq64s9OezBK3IBmjiQbGCQeCF5GAJgwGRE0w/NdvxaO0N3y7R7BNCi
oh7kbC55p9MaR2NQ9d4NO3a1Z6YWsAGwqlNhTZqnS6vzkJXFF+V7+hK243hwauaq6zQChwa16jiE
0lj1lkCIQ3v+nHUS5mvcl++5rAN/m4Ocf3ZjD1Win+UfkVem9H4DVR0NkBhblRXNU4DEouSjtw1e
mmIdeUx91y1pZm+mcjOEaEZrHGPVUcuGFql+dQJXnak2hH4xEYdcZVuueLrNS/vbYETEIOIAyZno
Oe2Wmd10Dsjbew8s2Z9m2JSbMOIdWCfOvEcSIDYMAvUXy+zb9wzQzymrC94aLALNJ+vFDerce9Rm
J4P2G/YtsOq07MfkI0EkvdZpC9YwdjVR3Y42Pmo/kefRUzbpCV73aMSif3ebNHyNuwjCl4R0X6D0
mkOP195UQhKiy13Kg+ETwWHbWYSk0O+fJ22lN2ZeEuURLmEdWU0fOmUsvqaKim/I1gwIeCPaw7Fr
cfQIWXb4Vno8uDIzz+4AD7jIB94ZlT1N5RpGBFJmFqekw35cQ1snG+RkkQPebTS8e5azaY7vyYKz
pzXKzO7oReMSyUd3iPuyiFh92tl4AGNu7iIa5VvFS2HvmEqf1Jx23xR7I3YYCZw3o+QsEKL9VdjL
rUxHyTwngYJSFNjNePBNRzxNeLTfDFsZH7bfDdcinOIHT86QPCs+dnTH6NGSKWG6HRkrYklbKXoz
ApmUPlIYC6TP0GySvL7znSf4bciflrgWfIrcVOWTuQS5mKGBh3Uk2zWQ89oMwh2MH3/VLOEvbm6S
o0hxsglQ5TD6RuEVssdm2oP3m6H4O2KwBB0e++RVt2TLTH58YOJj7zoiZ3CSRnv28u66bsijya2Q
QMLSP9lt6a0tOBWgEbtdGEf4BEIbuIzgdjazkTxIj+Cf2XqbFR+cVF24B0aSr9DdFHtiGcb72rcB
9HVhfM5k/2Eo5tf1TAyM3/cQUmjs4iZNxlPaTMUhMmkP2ONiUlYNKW0QSN5zDc6RPT5vHQqhk9tV
7rZF0YEIVrfXpG9k17k17nM/ppqn4CIDY/Q3ehgvA4YaEltG/+A1dbI2yx6Ce602BSYEXhCV+DJa
LXwegtl3oW5/6CVSSBnVvLd86E9lHX2FLVnumiWGSCt6BwRQHVFP3XYMQ1NoTJUgwcDsohtZEmBk
1K9DOV+6XJw0s3XViDNLLg2jJfQIztBHVsdPGCbvyJ3bK6rpNdyOt8hMh/2c06QMdPSOWqFdz03c
bSLD8h7JS2q2ZmW/j0vwUmHELPKJfSz8Rm8iGwJip9AUBwOJLf43+CuYLT/znDyDHUG8BD3Nzvxt
JP0JToy9W4IABqi8U/xsqjaGnt6E+clF4AF5hJyHJUXKmrd9nb6AB2wPzAOuvfrRDPvuoQ4R6CfE
T+E9TMh3jhC81H33YthYcseh14eePcx1RzDToRlhPxEXYp5IsgtefCRF+xSSTIh2b2iOae3THh2y
ZTsRRMm4rwaLEjptwI0zkJuvNfKBZkewwJ1n+5DL/QAavKEKGjqrPGpDc2/3qLmuNJHFi8E46ccv
hd0sn2fXefYGzRmx74RUSR9jIh6jXUCORrOiq+lmC7SoIBGxhWcG6tgbDoHTBcaN7nSQQlisQMih
nW6Zfw9sOfMoXSPFE69hjGqxFT4PIEdlxOBBEmooRdhIbeywYlsUc9t3m4rlhT7TMtOYqk68dqBi
tsIAACUrRA0ZeaVIFXq2wLWYzoYLtddOA6JFp9o3bzLDS/utjia2HV3AsjS0MI6ktexO8Aj3P7LZ
Hi6ZP1nXppWTRhQ3+SlBLvYalwZN7tgNrDur9TRCvYadSDz35ntVDb531km/bHkjXU3rxFPtM4EP
lA4FVoi9spzmSG3PRxu+NLZJxQZ9403xvMPBwf5q8PVXv0DunzaLfcRN1BcPFXBu9fIoVZytZ175
RztveZESvQWh1aMp0LLJD7uAHsEyqfk8Xq9cYztVfnMUPoxl9gn9HnBH+fL5n0Rhad+ZPtt+CFzR
PvC8+WA7OTjjUrMHGxubLkHoDJdhpuwx2Gwy65mlfx/lnEws6pCNEl3vPhvFqoCvb49VuOnwi2+K
MlWY6lNE/EbEVyyTIT/5s5Z7HyTPc5VqfgDz45J87XG+bWm8fEGVbb0wHOWqy9zkOw9jc2w8iZRp
XBSTRmIeAIvN51FhUUDDxO9iiCselMe2r+4TVa1BOuE/MRR7+w6yf7NB/wrnLp3pitC8ZDHoUDgI
s4k2ldt76I8EE2/uf3M2rqMqVm80/1JGvRkdxXC+ihq8DyApIk1LphYAO2UM9VnnIBCui5qsV88a
MENnMxMy4nyuCjHnEOS574xUzrseMSflvy6eiqaYAei3yG370Vi+X6LEhwFilaYI26xbTNyck6Jj
ymbxf7lWI4EIPaeNJuXatZCc2tKS+2ppxbWdnM/BRLbwXAwIUqt03oF4ms/aJbINMuLygUXm38d2
ZGw/mTKqqOjnBwoumQxMJN/8SS4RkwSyBz5cac6WRfQ8IFYnmM49H7Sd5gaqXT0Y5ktieW6GyCzH
ltFy3xOhZl1bAX3WzWfjyTJs8TFjZrnqM+4m0uyZMJKb/EYrUQJuk3b/qO3Ruo4s9JY9YsM3kRDA
PomER8dIeIRdp2M2OWhxEiTevOVBqyHljwaIgbYvTOLhC2HdsTngF0LMp/0lIO5TAYtB7iOZ2tfs
W5pnHS2ntzSL/NRVnKYe3tkd7hU8JMsDa7d58r2cS/VWhymHHru2PxVo0o+alisCidBo3+bFRIbK
91bX/F2EjeSKxfe988DqJVbK1kOrb+hJozVImHDf9o04mZqroyFWPdcjT6DopoiOhSQQren1Nq78
6ezQAj+rshevzeBN3nr2Z+uqiG3rApNKnLxi0SBodj7eRrIc7uHR0PxgLBpCceYuGBStOU8tfiBc
ejgHQs2eEDY5dwlS8PcYe9kbo0gD7maieKarxgPfye501wHpeCV0Qu5jPzYeZjYEH4FQ/OBIL/dg
Y+IjBgshTmlsI40InWk+wJkNN0EYsO0jG7b/Efrsk0mesMaXtkrHr8AOmEK1FOQNrVQI7gllBW9G
ldXXVtvLG+RA3QNc8vC76jF+plC4TzgjodzGA28mNwXnOHnBRMSe5A7o0Xa8Zr6HkpUMokZsAnAS
/aZQaTX92X7+X6HDvxE6QNyxGN78/4UONz+G/zr9aNof0z8rHf7xZ/9QOgTOHxBn2Qy7LoyGP5la
/1A6BN4fHv8Gxgp9bug+tP3/m2Nr/QHoYOnCexFWOpbb/xE6OOEfsGQCJsiUUtB5mJ/8BxxbbP7M
KH7qs5uLCzZkIhUyHrJ+bffbBFGgifKaA5ZgtsiycfBBxbT+r/DbeFejST11j9lSnCozTbpjn0p9
myiIo/s8g9tPhEzPk/FZkQCHd+hnUTXaamRViIWb3rIFNvdBDiEyjmpeyKMx3MS5lTgbC4jew2hL
78WX/Rv7YDyxRfkAW8m71zmTjraJHqrlLQ4Anyqs8hdttGcFbPmdbD5DKuDuD7PQumv9iuA9KPEv
UW5l/oplzb6Tkjdpu6woOLpwjSn+cPCpaVwvGG9KNIoby7CsOzHbxrZsjegD7woPqaocVo2eKO5j
TO5bg9ecVz3DSE0QCZXE7FLefZ6ofEYx2ATJO9c/XRvGov5jaMrSnDdzuA8tO8JjUnbwZDJ3TUXH
H7begEfQlmTQMahAZfrcZ3Mdw2APzZfPTu/nWwzv9nxAezgf9NDyuBsdR0ciS+WeIXFvUxQYQ1pR
fy3mDm/lEsiQr3AWz4cmC2GKMqkxXruOBnaos5Jci86xrpuwjcz9ACrgCSEiyhZMbtZLQ7OYvsho
8mkFke6XUBXGB7KpaD06tTgRaJ58N6C13ihAIfvP79cu34o7G+1Cxj95HWsuhiRnEYtiIMlxbzq5
Z/zSr6tQzbu04iSTdqi3cl4KvkDzEopDCz3EqtN5PlyDHEySgyioH1H/6sbZJV6Qp7wf6WitMjGT
UspM5DS71bFvXMzKxMCQWsoi/AJoPySrQU1U4dwqjAF0yb0QKiqMrm03HD1FSd+iuUHu493jKyme
GsMp7hPVTC+1SrAzSSd6yHgZ7xLHxnFfl7Vzkl4XX4naTZ6zScEuRylCP5CLHdJlIQaV4LR1v3Al
MkxeWxoqrdwz3nRXuVdruPGR9lcjTN5XNs64T1xkNAVwyI8Bv4EiabwkJ9RyZuzhsZ2l+S7KTJ3c
5EXFZ0UdZGDM0TaRna7zf9k7s+22sbPbPhFqoNnobkmCjUhJVC/5BkOyZfTdxkb79GeCVclvO0l5
5FznzpXYoggSG1+z1lw9n/CqlxSggSLK6Z5JGKXljBLbqhaEstJDEmcL8kT7aPB2hvJJqM1j65nO
MtsVHgXGKnNiwEgjQnRvlxl6+6Aq8WqrnAAvW3+hwJpIM6JjildpN2v0XFl+XUThrNYtgoRt4rFZ
gNJQrzs9Q6iO/85cJZ0nb+c5r87khxd3LYs5smqmgiJVGFddVPorw2wYt2B72M+ARAL4C/NVLJol
Z5GGaT3ktvU0GowabFgkTDYlfc4wDuQrtBk3hsmIgtCDkCGs6scANhWOGT1McSAOrbZraqu97iw/
vR09KyOLdLDPyo7MgIw/Mit0t9UX0ntOgLun+dSifpOQHDTq7ms/a8l1aMAdmmSaImarDpJkts1c
4ywtHYt+LTXAKtO1WSQs6vyb97khGHGjpXIs90DYmgfiXuoU1xJQf4wBFjLvrJyfSOYjdS5t4htG
/fJq1uvqWXNsoiAaF7WixRIF6FiE8yYoCSFYtBxKbJiGtIHVlTZhIRwUMKvzQd/0jsOyKqyrOzqA
9sXn/VsHETJjO9RF5aJzmSN51TGmXbJkuxmqKqO2VVHSJ6z0Bm/IHLv4TFxQnGvJyOXRcSN9xqUq
s7Upi/TYKxxShBCgCNZTEyOy5UD2ln4/EjcTEfg4Fe/VrJMpnZBTUIWNe1NNHa5GlJvUgSZGNn8Y
aQkh2qgal+0sz3Tx2dWlYr6srU2n51RqHWqry8nSZAq/3VhkV1Tb6LCMmV71chfVIBUeLlsyCakU
zInOsdqbVc+pMfGEkRWqujHieK5LgsS4HVjKGjZVdKVi/DXM3vlN8iVedNAH6lZoNn55w9N+umll
Vk00AfNfjYFkt/+/wPo/ZZy/KZcMCx3n35VL+/fhPUl+LJX++id/lUq0RX+gPWDdj4QaIfgPolBu
/j+wD6AuQ9BmL9XSP2sl0/yDiss1feqYRbLoofn5SxRqUCshIFjYiYAWFuTHf1Mr2Yvk4P9KJYFm
hwDsRUbjwGxAqbTINH5gJQH7ygkgj8yHtq0XH9tcsIrtDWq69ZyjMa8FpsM4ydHKuPhA4zjT7k2/
mXal0KaaBCnPXvMQpa3Vw3zYaEQB0IARfDr29RtRaPwc3MPY8rW+Ss4cMPXS79ro+WMckJ0g+Pji
QgQRPp7jxXR68TUyegYvnvLg9yMqnNhAh1ZyekvGjIO41cYkvh0Z9+WruFXDux/V07trxaR6RTGX
bR1HVH7wDyVDlVxvruxJqz+4pdN3bqzprGWI4LE0TG8THN+1X0eEuNHxqM9eRgaVXi4OEcDMuyh2
sIdpPKXA6ZtPHRby7DfyrQup5JePYFFu8amiSkPAydfgx4+gmIVItbB1ACBa/sGmcA1qc5RYfCuA
8Cum9MpdJWbhnwlINE/lYPLWaser7HWS6f0OIcEUuIjqD2Sy9tdzaMc3JsiBb0aSaS9lY7f38aSN
hJ+m6XVnK7a7XryMJHJaV0JCwWO1VnXrefJJ5RZLqHo4AStgRRebBGz734AsNx8/3CT/Ri+2qJp/
/t4haVy+wEBAUeH9Cxyo9hwvCnWC30RVhG/G8ulHVWW8GibrfM2l+OpS5mQs/lUg4pJIu0JT87Zd
auSxG/WPOjO4DL7N+DkiaexqIOr0IZz4UwMQ8NOsK+MYaQzwYrSxJytqmDB54XMkRhOOKwSArESK
62S5vk9K2uIYrd4u65dAW8I+yFYt+E5bSu+P+mx9K53uNKBk3iui7fboiBefAWyhZJwy9keE2uu1
H2PdeMtrP70iF3r4msTU7zmrs68MqC3yynO5l8romXkBJKovZd4w3nNTZjdur3EztQDmMmsJVEux
MC4lwybj6XH0BDAdBg1jt0kSbOmXgR3BOSbjzKVDLzHRjSWf0oqMm/S6iBdnErxuVkFl/enlDfV+
CckC4pPtN3scLsa2jNuWPWqdHHOl9Gvm6+PZK43+2s4a3pxpdeTeNfGckskTA/mZRWTea4kab1s2
5if0ItE24Zm4H+zl3tQypqgYN19E3DYfPu6hkxDShyQ//k7F/cuZtShiCbWAGW0Zls9n6SPc//GG
MRFBhVHvavdsLRjR+NTkmtFS/Y8MSqSLoBvwFt8dWc1fMdCDtlCLlASeWfwtJSTqpqYsZ12sNy9u
Q54oUZf6rvHq1xGiw6bpnOKpaPgpWS9tGA09s9N8UbFXIdtjXeEvb+1oDKaCwRK9JF2cO/FWqR2m
azBPhNMZdDM90KDlQKW6l3atjMBWmhkkeOr4mQz9b3hqz3eXry3zEma5hKNey8ZmrFZX4fdqaZ08
raA0gqzzQjhoc4NDgT6UnFmkNJZVJh/Eh+2QtJGl3I3+MnFmV7cT00x0X+bF3q2nN/+YnPxHqedF
B/x/59Vy+enrPaBljmPa0FSXW/uHR8bQGK1GoYLRWNaOtlFgh4j+bbSHdKZ6lwat0xohhfaYTgnl
jT3Wfn09ypL1g6cvSh+LexC1Sk4X5mV9/Z71Dh2Xj9kaGYghmY4hPuNKm7lxoKzVtn9/9vy7N4AD
YKEhmTyX0Rn+/AbKOWtJq4rc+5yRdDCmBuPjOoq2DYlYEjAN50zYDJwXpsMRU8Y0QY5XMllDYHs0
BifEco2e3yKH/N0asUQ4w8hmwMQCvG2ImXzM3YYRWkww6e+00pfn8S8XX7jMKQ1zMYug1fr5dx8K
YnhnMdj3VbeMyYa2Db/zbQ69vYSZ8GzMybxoDcbb3O0ZR16aYLMsnYNXJ/3VZWYw+KY85Dbrocpt
tEdFw77zB1aIrJm68nb22uTkmrz/ofBZryi64u89jwk+okR8tIhoD+TeEPMJphdALoCMcuf2rlwT
GwynwoQcoHD3v5hwLfaah7m4RZAYhFCnt3lrRds6j8c3wBPzTg59eEiAbQRz6ZbeWpnm+GlELecV
Sb/aQjY0jWBGc0AQZPaBsXlPuGDZrNhT1IdcMEktXW51aoLxfLn1Ql+LvslQi/sAsQu/XsmScGaZ
cU+0HiujIrV6otCb+Bt7uXlLmiNj0WboP0VeLCfIcmlSN7yCxT5fC9YCZHUUnHz1Ql2czCJ71NEt
RSvROAmTjfSrVeG8bMiDPmSDSXuxbF80kZsnLITtxnbz8SbFq1n+RshOkcgn/dM3AXggNcNF0rqU
g7+UDZzVRYf5oLmPyQJ11xOW53F1OZuJHQcdBXWJKXDIG4CiEG0pxep3x1Tz3YwzPwuioj3EWuMS
MpbmOK9ztvUTW4FsTQx0UsBBKLeKTGVuVwNP0DSgiuL4Vx/mIPrPLnGFtvEdu3DZNHoACMirz6/7
Utk0xTqKUGLKLRgeVh7m29wI6Xb8mdwhL9JGknhr9wD74gmXpUF/FQOOWmtmsvMbR7uDPzzBHmFi
/Q3aB0dkxpIBp2u1HzG57AR37Z716lJyLp8rnkn10uI/tLWsnzajmcyBb00vRk0QKbQBa8XvExer
NuWG8COWQG6KUm7tYP74Cr2v2MieNQuKUPZLfk6oCZb3Zjc3Zlxdm8hRsYp2WfzMcyB5RjwDMZGw
CEJVqqRIX4h1BLCTZw1L/pi6BX+fxWmAg7RmvOSzcNB6NoaGhn34SvdGHlVt4WwkaJtoZcUMwCC8
FzpvFzwxMdPLtK0dJH8O1UUCHIMgYzDTCrHJZ6N8jBAWofQnZZ0Nbmp9xDh8GDICs82OGgB8yh9/
QsmYEOc8R43+UZBdHa1VQ9c5cbIvWcazcYps5ogTXwSIF0NVHTUxxezPDMt6NaoZ9uykd/MdPKWQ
ZaibjveS2nKvNABLKxJ/ZsQXmXcAwaAFeUfsJYlaSFzZVcxDIHp2FV7rJDHsMFg/g1w2MklDlYkJ
Sm6UDzsWq1lIJos1599dd7hXFcqZtU3ZStYVVIB1PmTFjUtu6dks3GHNw4BUz3ZZ1l6eBv9bBPym
s6UdXZiu/3kR8JzIKCmT9x9727/+0T/WAPbSv/JzTOp31OyLq/EfqRvWH/C2eVJhs7EXxDF95197
AMv/QwCkwIKjW1QQkOf+2dtaBOSxA6Nfxt9lmqbzX+0B/sSo/nBEQqj0XYtVg2PxWyySg58fll7v
VFU1Rcbe86aSfKK+8tBP+yzeyqk5JXCyka1/mUqPMg/dTPykk1q+hjhZHZM46m7Qy9FiyB7RrBsa
YSBZOpzjKaqPPL3yx6okW2yFeezAavgR9enIbdM17zrZnjLZ8KSOnlqplc+mcsZzXQxwV3tTk99A
CVfHKo7I/wAg8F7qDa760SR3HHINf8l0hP+snEr7zEbANhnPmPFz8Za46VXSiuGGjNtAEtTlQTE4
6hisGWD3YYlvSpARR8psJ246ZRo0uTFyaJQPNT7nuOwD2LrRym0kJ1SRkDqHTXK8MeSYb2QWe1/y
DLXssVW9x2WpTHNvQNM4pTXQXQwCJOQylqh4lA+DvTUaXawI6PkQxVweowHHu+3NYmODNnmVaVsG
thGKjYZVFnu6NTwjUZvui8o2ooMg525X1UV9Dhej/w4qgTjooELfVIvoukPQ9xQj9d5kqARIdZv7
xn2u2wSegutASgjgouHDBt8CsjD0I84Od2Z8fttwojRbDbvSo2w88d7VAkaYkw/1m4iEd3IWMMxI
pjJXma1KhJLKNx7x7GOtn8zBeIwS/C+rvLb58cq6rJ0rZdy0PJUgQ9FIkE/LiK6AMdWjJQAIjY9b
k00Jz6nsqqPBLJLx7/LH3IC1uw5rh16eyoq/x3OIf2NbU+ae6hLMAQsRHPe2Io89pQ9cTkAHuSWI
HjJ5Y7CMm2i0/WevyvD4lyr0n41OU9FKehhZ+WoK49GExhCtiq5P0KFW3UyMAKgrK1b2O0QC7OtC
eShE5diiZygnXn8qjOpoRuwk1qmYeUPuclHYmon0qLI5j69QFPELDEYzRoEbkXm0ZmkN83soqGuR
JWbEu03sqzbe6OZiQ1SrY96EfT6E21aFenRQdZ+AIKlS9e3COkkyClN2TsuPjatGIjtNU9WsKw1h
TL9iHMr/QUAyPx5DP3/2ZpXOq9nMuIJyGPlfZrSxhwtAZxxj1ABzq+o3J+q0tdBq3kSIXPvMSp8k
rhS6CormbARV51iHITf4bja9yfXFkRA+DxLlNnR1OyKNcjB7ClFpiHd9mlpvLaKxOjq6rN8a5rf9
Cp6B3EdJaou7KO38IMPVUR0SK5EtGuDOstYwzfj5kYXGYzcVYMEQDzsvROtO2vPlt/TyuYv2+UTW
1doy0APx8HP4lml0KTe+JHiOCqK12Ho7OB/RA5Jh9wAFH1JklS8fqakv14d5ld7eKAIbj6imKvgK
Ff/tTwlkCmKBae+R1CW7rAIavvKJh9y5Q84J5aaN3ItCN6YtrPL8+zwDXyaUTlu+U4aZV6vI1rxi
V3X9UB1dwJow3utsXI9upgYe1+a8b2dnuGeRP54BltRvFt80C/Es8Rh8T0t07/je6pPyujWZ3B6M
RVNr+lVrtuTEYaiy1pNs3Rv0TEBa/cl/5sN0liaWAgmQlaKEIrHuTYmuJUs4NUdYaj7pnoNXbGfa
0bXeR/Zdl6j2a6oxF1iBIyct28/HB8+h/UUeyhfblIPkzXABTthANd4d6A1rNVd22a7VIHNrgyCc
DHsuWT/vR9929wNUCQB1qWsFTD09KxAhnPgVMhFGgBEkLfpsru9EDs+zZLt9crqmYnVjFiijmP5S
7TDeDDTmPCv0tEgoCylq6HYo/Ojh43gteWLclQT63uc9U/4VCygEuW4Wm0+kFBOWiRfsU7iFdRVK
MIgpCZHfctudn70IP9oW7kR6wreVfFrNODzS9k1sSEr8G2kOLyjRnmSqyefYFHidWECAwvS9BC6x
xsp61PKTMaJvzXFobXWvmBA16/Mn+FGCHa0hb4/o8tx01afuJIj5Dq23KUvbowIh2tAoucahm2V2
XdimvcHRgNo1HJXpMI6a3ZMdNTfSkcUnc6VYBDP++nw1Ts10RR62d5MP2r1RaISCEt2FxT/z+tY4
5QQ3N3e4MOIDwtyd6p1xO/dWj2EpQzDeEcCQaV14xp3EaTK5+IC1ursHrfRqRYNBLeu3M0CtDsph
nRGK/BTWVvU8xLl8gAJ6jm2aosmkvh6ilk04goiH0kW7lXej8m4brOz7xM3rQGdW/BrR6R5F6D3O
kem8dC2UzWq0K7mzh7LyuT/qvN73kgwG+KB7ZhnMWmrz3LbgcBxGMXaQ67F+wsSI9yVkqHTXxgtT
0kRvm6cSyhtzTNJpSXuuAxZfJVF/YTygTB6LfG2Izk4xSHRdsQebTcqKZuCh6i2icz2gno8mIN23
BDwEo0AQxLddKkhj13Ej9Gj62vVgpV9GHu/HAZ32jTL1L9jbmmt624l4+mGsHdZXoTqxx0w3PTaT
B2jU4jgx9bjLDEd97wk+/DLBsWneR6Xn/V1CzR4dFcGZhwhvwBqo86s5zeFdHBvhJnMycNWeQca0
onXLW0oa12FR11rarZTKCYDxRNNqcovPHG3wqZkT8trtybxLE2wgXuIA7gP5c/Zr374FrBiRbg4n
ugFj5hK1o4W4X8PGLDdxp2t3IqtsfGbdEHC53FUvnPFqIXt/gbEu1nZVP+E10q8QDD4D6yG0AYzK
pk31N4Mc0XRI25M22eJ1GAj85p6bcHqQ/oBINI5xU4ro1vKq7rpz5d7rYDJlLr6SWDc6Ts2qHsVp
iJXgHXokHMfCyjdRbXaKh592g+jexOMVnwog73tmVS8hufOrKHeKlTQrgU4K+o8zkl9u1Oi6W7MW
QTw6Pk8KP5yRjzZEVZIUb2whiujjyjRr684DdnTGY6AeKingq8myr3g/scKWNRKjqPprdCw2GL7o
ydEbIs8h9m4Ma4SxA5tt66uieEjSqi/Z8qb5Fs1gQk+cp21Q66O26pRjY5Jq4/hcjMgRMkufHnX0
LseptZaUHv5hD831mhOo3ye4VlANFv7dMgnf1Zg++E9T1EermJk82EXer6eyHQKkduxZY/r5q06k
HZhcR9/IkLmTSr1TlUXTk94CKWId3j3jB31NQTCubdsg+yAa++ipx+uxctslz4hG8cqpi3E/6pGJ
yST2tk7n8DkomQ4Oinfdn2FudY4EpBzb3AkFwW/1iE9EJB1PxzymS23cIt/Vg/Cea5833tejfAjT
yt2CNgvTgMfhsPdSXDn4sLOVF4bLOAFhY0h47kriDoKTGrVH4FECf0Q8dUfMg9V2YERlMebzR8xG
5PQyvbB7ViQEwnl5PARJ5iCkjX2VszFzm70v/TDIl9IKRIpcoawGrCkwQq7zInWCRGtI+i17xBed
110PtWFugEuqRbIAuRP39DFLi/5mJHpVJ/+tG7H8rlKvKM4Maee1Mcb9fW+7hXPv5H00rZEPLm4G
pmQrT89EsnXDYrQhDXPIa7IubjAOqwc4Wm0wkXs9rtPWC+86zW2udWc0OG0nK2Ky1RPlYmFUBeOp
XrA/okeSLNyp3mycg/F80jEqnOjsnZ6HvR1Ds/brKzea26OfIwnABml8I3WrvimSwYMlF6NlqCb9
WnIL8HRv5JWlQoMkphHNkGls8N7qdymsSCxM7FdQ1ducm/i8OjK58bMR04u+AHbZ4A72jgAvpiyz
r2cP9IDNVysq9e+z6fiM3EscOAutK4ndyDhl6OSLrxMq+zN+pvlWi4FfBlGd2N2Hp+pHrEElWWAy
6URo7sBtE0oWjs4Oj4+LTzh/qa18jI9l3rjhCeT/uxqWebZN0ZZ4fO7M/RJ8h3PKJsjLuM73y9xW
f0kK/iQhKIMEP1d127AdylcSZi4Ltpc5xi0iLOlF7jky6+bMk+6gCp6Ww/6Hrv3frNoWzMSPTTD4
ensJ8rGMZdUsfuXyE5bcTWZEDetKKQ6DRddpJ7H5OE8uNFdpJLu/fz37X5z9urCYSprCWrAXcPN/
7rrzuJ+Ix2qrfVlI/6SgQL8R1m2/Z5pib2FW3Vf2LULcRL3XWQcpHSuc0OJocXGd2mnOKcdNHDgN
4mTM5r1xU2hgbK/YwPjPPcIwFDxQEldiLkNKtMJpv+mRbvk070LND8zsQxlgcZf7pCOnSDGVfq/s
flAPLQD4djuzvhpa0LiOJb7M9A6Yd5nLFesoZC2dWBF9R8bp8Fi4Vv025BOUuHguv3tzXz5YbJph
SjQtf5/tQv2mF2Ic0XyNLpsQkAk0U4YW3s1a27UIn2gSdsQayv3EX5Tk5dWGs5MxQuugNbzq7dL3
Fk5j/IaMsUw2fv7QXZtYRc9juw/54Fd+TUY1HDqtXu3xFSxztSSlD+iMnNbs7z/tn/UDSAcQWjq+
g3WNOYdl/vrt8iTdWpPzQizR+IhrDqZAlQ2fjxXO4r0F8LfwFJd19swT9e2/fXUPWAXJZ57AvYiM
4eevWq1NzKYnrN8yrc1HZ2D/lzTJRK3IrpXtOa/qKJeCXxtwJPxuBP/LBJ73/ifCwge8ZCFgXa7N
j4uw1NZC4uCrfWvU/PR+iDpx7WaN+VimLS2yMAAqULJM1VFFNfWoLgHZsWCK3HzPItp4vFyN/40y
fzPKROcrIHr851Hm9XtSfv44x/zrX/w1x3ScP8hgs4VjmTBPEDRzN/1Dzmz8wYfMGNOmS8CL94Oc
2WWMicx5EW5gg2GT+M8xpgDpZiO4QPZjwFRekG7/hZz51+OUBSsmYH4OWh3W3r8GcU2sgSw1LVS0
MJj8wJ6uvfT2h6vxbx4R//oSgOuY02KJ41eGDvfzF5mN3mJ4Q5vbh9Yqmz0ia6geHC7pP6/5/8er
LL/FD7eLDH3yNmNexS2/tNqXavxUvwvx+t0b+eU8cJNKYEfmJdhduPodcqBm/vj7d4HO4Ncn6iU3
UFB6oXEXbGJ/uVxtrtVp1DNTsbVSfq1AWlH26WhA8OrNezvM8ntLB5qu5x22I5Sa27G1xsDBxbmb
xn7YJbWUz+gLLWONNSndSOXemXbR2xv8dcPJp9nH8Sj1jaXGfmsgd3hIdJOdkFt06eO04AHc1IWe
6QCN9yoM0F69ST2vDUg66fcdBF50HjE8UJhbm0wDrpnX7G+zpqNpTSTzLdlhcdJz96h7s/OmFS74
ytie4mu90Rw8Kfm0nnVgD7Fm95xeRUes/agILGBPdQKIOT+xC8w3bLlM8LTNV4ctDfykguhJBj8b
YjCKnTDbk8hM9TSWk7gj197YaVRyQWXJFOuWztSrM8S2zTwq/7E2rilYiwCG/MgWeezvLVfxQzC5
nFyqq6CaPRNt2tQa10Qicz+kmGSjqovvwrQfvtL5THf9bHX4V8PRXbt9yusl8+dQOuFrXCPh37DQ
np8ALtmwlGfjU0rmI2u7Feq71ogxJs0jV8++uVBpRxqOu77X+UHLBWahcV1hPUaBqop67Uy2sylq
Guvcwbu9SlDo0OWWbr3m98uwobOS7fJUu0kj8alaTYCgUt23dB6fxGx++qVvv40mnFLRacmrypC9
6hMwi5WMG2NXDuJzcfn5dFRk4aYN7WEKsGjECjmrZxpjZjWw/NcpI7qrgrLmOQEPC/m1cY/EssS4
jIYwsGxp7Lp2iO+G3EwPoKdBtJP5QBODppzx/ozR3XGitR9OYYBSWsfLkHsRcjlh7jGI8gLm7Kyb
JiU9vPCyPQVa/4BupXtQNcnX+MNavhheYt/lERxrPQ+zKw885kpoVRf00LBuPfLt4lVjMTwo4FNs
TM7OG2roND2kplOgBmiSZjU2CfTrTuLwIkU5AjiU6A9pyQx3xYLXvqW/TndxFOk7Q8jwI3RtizBa
UwtvzMGHm5HFrou22ig7VPWhuEVTYG4m4qXX4xyJq6mWzanRmDYaqPkPjl8751CziP+pY+vMyDM6
Ybx4DosGQRH76AEne6/vAQ05EMYlkuuuG/NxnSVx+KGgKq38ekDsbGmdtqtA3HwXaeZ9x7KPrFxr
h6MksvUjJjAriLpGMB5FCBdorfJhXPjL9Qj1zNlA2v3GiJ4r2fZjTooZ/CWjNaZ9QaLfKY8i8Ygf
cg5CmOg9L2YbO+KHltmUGF49M+y/lKj97vSi0fd9YubORnQjVkU36YFPoDv9agBMvmqKrrjpMIC8
S2RD12VHkjG7dOsRYyOcnLbFNjvCbz8OZjSdLUTG26iW3pnytXyfYnu4kxPysJExxM3YNg4jRSyC
bePbx6xGHWU0NoK2STkP9WR5GwXwbo9rEIkIaxVegHJwWW6T8nwn2faUK9DntFyU4GQdk8q97cNB
/06Uj8J0k1fxQyP79Js9Oy0xkBxCGTIoYiINgEyOb2/riQw6VQ0R0uua+QRPFRF0umiO+cCYa1kw
xMD/izAiEDvnZ9ph7GxS3w3B7gDy4beNWJtU89WUTc0RHsq0zu2Q/OPUKUGM20XqHzwqhm2Vpg7T
pwhZZuvj+8QfyRgl0ijhMzQSqOn5TkA+QGXq6yrQJykPfzpl48abtiHyiwADEQ2Jqef+umenH8OA
mRn2YEw4U6U2H0OjFMdYn93llQDikeo08ZwCX5LEJ/2qd929MtP+09UxlJoR2K6LD3QgydBD/I/j
r6Uf+lBuiVYjx4/4vcVk8Ty1I0AqQ8fEu9hGzRJWPdxsnNIjmKfVbLuLsxdK68W/0ntIyAO+wzNX
V3mUrhEanMtL0sijNUCA0K9pJPEjWvkCC8hU++KOqt3g51vsRNLSgouE7WJRNls0M5AusPOJuHru
k6LYXYR6uIzDIEEWv0o1vVgPDWgGfVwMjFX37vmWOniu42WAq1N744WZvk+HDA/QJPsbohy4fBc9
ljT85NrJxv7aYB3mryAAjfuK/p6NXG3QVZpWT73t9cVV2hpMCthQEaIE9wPvUbkw3PURGYnPtObB
GFv9VS30qUQsbvMLotauPYQiwyIAm+uOl73khIyIo1aGxKR7kU7VCS0HBHw+eg9m/6latEhdbsXf
/MXlypzfeSikYx9DowI16yyWgCZCE9eEmrejGpUHq9ay58FPiN5CwPmwCGACexFOegq3dHTxxC8P
u9aH6qLBlD9f3F7E3vjrygcxw7xqPFtyEu9GQe5iWfMFd0JksATWshQF7BHAxCk/U57hB0Ys7SP5
DvMzX6To7MREpCiWWg8lM6a1szh5ElmXO09azquiIFWrLjHDUz6UjJYublYzhH2PzgQdkab3n30Z
ak+FW5M4qVTKFEdz/vqcMjWG3ycda9ooLKxTojZumIBoj1GYcchYCy2F2KRAs8fkrexa786vepp/
vbNfrG4SL73UxEtq19MNTypnGzextpmSRNvgl4aLEIbV9Rxp8r6KizIwsfwFWsYy+3LVlc2ooWo9
79bM9K1eMszyZZsebQkXqqmQupTdPKwrvohbpv360YULE5R+qg7FpKygbgoDC7wuuIldf7rq8Abf
hh6bazBmGAQv3+XZMyAXasKjrvDEcfaS8cZtyzBgUk2KvVB9g+C2zG71Ji0OoMidVz8M+x0bUmGv
vISHoT4LPv4ZCHPWVvO10WDFiwbfKtbAF2OOQGOxWoNxyyYEozHJK2YdlreunGf8X/i4GOXW0zOp
GLa9KuchDeZuagEJZD6eINx4Xeamt1YWA0G3MPSLroCLMKDbM9wBVoKsx9vGbXl0u3Gpdm5TYbce
58LNNiZKTHaORszAZcz7gy9BL61C0bKjUYTprVHsVY9ExJfbjgOHGgjIzdEQprptQCGAciC5gKw/
MjkHo75q4OJtQRhr06rJSu3xT28A8VdUzMRHMRjFE6lfpH/KrlPWuwtv1usbKCb1ImWkp3/WwUcw
aMRtb/mJ8XEBvIkCaJcYBjRqvoeudMRAuNIE5s4YElZAHKeJABCGoWSaeuUMYgo8NcmDN5nYaKyp
B/5X+E4/rlggcNKV2A3vGIVyz+Olww8f8h+PTDkitfJxq586paXrkL96Ti2DKWA1NyEjgFTsEt2a
D6kXOruB5evyjkhuGs01hu74Bmkm+sAuKR5MhlMBPK4ymOtY2ym7UhIC/2SiuZg8tnZl82D1FgBQ
YsqPrNvPXc0arBIo+oZU+/QwBGwB8b+i0TZWOdlmJ95GtmEMw8lpR63cIuYfggpr+S4MYeGQiqRY
ctkS5GWjuwEVYgx8xy7WKp7OJv7qddY6xVe31L7CMbhFi2JtzZHUZuq25uDFrrly5+RxqGLW8Z4W
7TmtdlyIfm0sGQQRbDLYPt6rRrrJWqWLuRGherjxhihaUjkIwfUU3DCbHUju1rzfsrZxvHVIXTix
wR7V4XVdxhGi66gMnCSHVlsRY7Gb5zT+QjSgvc9GA3zh1I09iW1z9VBjnGFvHAF5XBVmfIxTpz6X
ZVa/alHG+sOcCgaPNYAhNlQPriHFuMlxTx66fpqvzMTP0BLG3V6LMxvYUdSIs/DkfE4jRz7UUZIF
UM1cmEajLHCjOU4wujLE3xjHO1L10m3fZLTkep5cRakxoZNTKN/lXBwNX7NgVeS2T8JOFeGK3HoE
fmXHtvygvDfe8Mt414bfKX0tTbu665tUaitGo8M5nKfqoCbIGQRvt1s26tyKrDzg/vlazEJI8ilu
xtD+IOegGdZ9PE+3wlDpXWmTateBeX9zSMfKVqMRmzeT56u3LI/dK3YB5UtIhkRIpFdnPevLE9Ix
iprlhhfvx7LsjnHiieu4aNVLqXCCjKoZSLGK+uOgTdlXRZoQOx6DDxeAfXju3br4VrSuvu4d5BMA
YiqTW6R2r4zMFCepQISQ4QCHaOpLQa/bio48SiWerNItAphlpJIkfR/fVNr0mbFlezXJnApY73gY
rfN5C4AyXad9Ma2o8WYEyijfu1WnjSTFTZKTLP1/7J3HktxYlm1/pa3nSIO4EHfQg3YJ99Ca5AQW
QQGtNb7+LQSZ9RgenuHG6mmZVZmVZTEJh7o495y9104iNyJxFD8M2ku4I5W1H9lVgMY1JgQszsqv
i2lVh+m9ksDaIcMeyzZkGho3xHFIWDyxVjwhZTEYbcKqgIRll+3KpDLe5tIiMDpO8/NmSnQ61VCp
qOdTmG8GHKjCaRXXqHuF0a2g7fx9xHRKNkRl7jRUPI8NcYwL9p3Oll3MHDMUEmZjKM05H8XkmlIx
eh40I3+Iyrj8VLTFYG8LxQS8wzghjLckxnnmIo4paYTSZDc03UnleuUuxJWld+TN9NG+09vvfu/A
JaK9cz5IJzszqGy/ZoVqMY+efZRKfDnlHSoPJhvJtgGjuIR0k58jvccUK8uiuaS9619i1UUVIuZR
IW3lEoihBXOzivRb3v9vTUYUOh32Ti5aG1e24TXTXuZ1ex2rNBkEwPTHoaoRhYy2hpQi9W5qxvIv
hlJ8EVHdf0Hqdje1KG83NiyJlQJGYhuVEyt7oRhLXrXkzpF23yxhXla3pkqkzZIe9sZiDow+oCMt
iyceQXkutkFg2ed6bAGOiKvW3gWpZG8a6f4LWI0aDpSao7JSfEBag33PVofvCdTVLx7a5FXhyycx
iP5MZdi25W/RAYGXzZ0IxTc7wfjb5c0Iqd/rNh2mU/I/jTG6kHLqtx2+eGxZjrMt/Wgg2lhyUQzP
frK7QNyHXV4Bigp5YSsZLPqMmmoMLLkxFXPbGIF+zR7kkQU5vhqKydqXYDMXTc/MvECm85xLBFkJ
sA9XKY3oksRm4GS0mGEsVlS3Q22WwAT67Dabap8KV7lJ07TZNc6Y3pBoY13bJRHFVoQUS8Oz+0Pz
s2yZR32xrtrQ33tZ0F4REhWcJ2Zs3pFUIjPorJOntJ+jTMGVFNfblOV2TeJYgfd6UG88r7VctHOo
eoAXbMcOc3nDirtoB2LUpOzUbZW09347oduyVWtvzDmBKG2+IIuz3chH/gJ6ZdizkCpuasjunFLO
3vdo6i9rv4ypf/PsR4vpPVxhsn0xmG5+rp2mhWzmQ899ydUoUs80rBVnTu9FK7ol5Lr6tX7f6sow
LhUJbuISf6KvL/OsLIeFUaFA2pTZMLE1CyqQYWOV3GepzBapOcotGZr+qqCFdQ/a9fswAE5VJ0qV
qjSqvTr1X22TXYOZ6OmSoopNUgklbdJAAqWh1NZsJ1wFJeOe999kTmo9plACyRTKfZeqMCEDz/la
48ta5erogW7j+0pimNsO1rPNFmSIpnOzUm+ooSw6Z7SJlNbRvgqZ9GciNw0GX8iksaJXV76nuZ1U
vB8B5uFrkzzem3qQP8pBKI8+r94DHpEqWJk1oaILsITeqnYY4CqZmW9VObRrPSzJByKrfOEAWj4x
YnrfBUV1Mg9/xBw7rx9mEyBs0LNOcYimEfTvOoVmXIibO01J5Q4A3n7cdn3X2cXzpaJDNLAd0ZKa
4SG/N4/twRyok5BpjLkPeAr284IB67BO/CJZ/fmhNN2wJTNMhMqHlG61tgrajxonFjj+PdFzfDKi
TrtQmy4+MUJ664J8VU1LTUdjKwgl4IgH/WpyntQxMThUxmToPE6a2LWqiJKTh3dR+gOavHmm/+fn
p2uI5OjDmTDpDw5qhp6mK0QWu2PMVSScja90RcuOPak4cX5Iud+MIVGFS15oRhg2ESjvZs8xi/9U
FErlpiM+hUXiKTiCSifaxTodzYT2x3UxanQQkym4IMJpOHH8+an4fQz6enwDEwcTwnlGc/DUjL4o
AjX2a9dJMcBSdNHIKPuHj6/n4Qh0PoiBG9uZJeYMW/W3j+ag8blAI1m5TUPr1u4DqgjfNrzLRCck
ahr1YdG1ktDciiL540Mfe34Yupr6bByW2jwF+/2tkCZDRF83qrlJMq4Lw0QaDEmFnrWiJrikfCqw
MWi89ceHPfbqGwICEMkWYCy1AxOaUUsrt0MOa5d4h7S0e7BQVri+xVOLRv3feWARMDBsRdHvaK8G
6t8GR35VqhqKZA5XN+Z9qZdbNv/DuvRs9cQq8y4o4PVeSrQL7MBZaNTDCzpNv+6lNbX91/r12Ry9
9tvQ8GwqdaLBgIfhZzmT+hx4czOppxX/8dU99tAa0rFghxjk6hyOlWPbaKbeVytY4764MVvA84XP
EvvxUY4tqNzCeXylMvg8TAwSGJtakbL0vK4CXeQxipAjghtBoOHHhzp2QgIYmiPwjzBinH/Kb/cv
HtoMWU/PgtqXyQoe6BfM61/+b8c4WNRCE00qH+rKRTB0MVnVVjjpT6fQPxpfjz4cPH8aN4fHw373
cMjIwQPeVC4ZvjwIrarvdTwgy6nrw0+BwgoDdlEl5pkxS2FAMCWU5NSK9v7VM8BkMULh/ZO0Lg5W
NJSeIFFzTNw+RoNFkzek6mlxeU5wJTTDQmarP72uHM9GYkEdNcscDha3km2VMxJk4KbZQIFijTd2
oNknSon3z6LBDB06Bq1dHfjvwUGkrzVojJPSDRu/xfOZk9pddOfYzk7lZB05EifhmLawNLIa7IPH
RNZhOI0jek2WNoSOSn1mjPZ9UUWPH1+2I7dJswWECO4VK5eYF+7fHnnUi7EhKzt3p1BdV8mz4iTE
ymYzRHL/8ZH0999YDJi/HepAhUKPyppp9MQfEF9N8qTADNLbDZE/siNmooPbgwI23ZrMP6pVKeju
qxWcPZAgkFAnvVlHTH+3ek0bLa0MGuCpAGJpOlGxb4wBeHYfTBdewj5QlBDPXiGr7KuadaI3UbO3
Oyyufd7SwR7JIlrSZotAkoXTiRM9NLwiZuILzlwP4xhqcXRNb68pyaOKIfHVECsSNE8yzdRLrXNu
R8sKn9OptfekkzI/TfCPk9+1QexLz2SwdhZZByHa4qVWovXS2weiLLNlYwWgy1Psow7IDBpLaR6X
6zru6TeGhg2wKTJgy/bYbKpOt/dKhJ9gELlwmW1jimgcfclxohUtPPs8FmgZolh6y4H1ekXy/HKy
/WElKFfk2vF1hX0j8Zov9gyr/PgJOPKsQZfSUHDwzaLkP3jWPNwiVB8j1yVS6vNOw/3DXR9cPyJu
dTHgvHI/PuD7ggezE1wa1F/IXuRhwQNnvet6IE2udBpBKlEOKIJse+LGi2brOX5zHtB6vRcksfzE
EP3jEnzk9aWaU2fboIND8PD1rfyxU+B5ZCSijOOnzuq1L3AbtHvCt6Lvf3ySCDxYjeh18N/D0pG5
KPvNsc3ctKuYigCpx6RO+DmUrKzakYiKR7ZmwD4usH3LE1/MI+dJXYWxUoXjSQV98KjbsU/eW55l
bu1hrS57bL/DnA4TjdUflwFiXqSQyc3bK/NQQUcPCCMDQnGXGIWncYS/o4MZ4S0yjD9+TCk3EEwh
jGL38S4Dq6jzvPW7NkFXgKJ3smi8GtEVRkIYbLH17eO79/4C4tLkxHR880yRDz9bfpgQqJ6UnJaZ
Gq5SYGZkhshMp06M+FRK3/sXkINR2lAaYDPVDz9fJdqQwGpTzkwR94GhPBG58S0ajHsgpydqkPld
fruh4VBsSy1OjTX/UFubGkE4ZgpCDKJW1ga9Ukmy7cJOOrxyc0IB6LATD8jxI+JAQMY2v3SHnxdR
2A4hS7Fbat0+lsVzPmr3RhWXi5a8yUXQ6ud/fusovIEDUXVwxPlq//bpNGv2HY1nx67Stvsx6Vwh
4ivcBCcO874oFVBC2Roac2iefthQ6Bx1CEP+ardT9DnkKhO7YuCL+PHJvF8qOYqmUmwQT2dRN749
Gaj/QxZFWuxWBh0tOj1wctsfdmbdRGXDQB0Fv4E89OODvqIfDp+SeeHA9WySNneY4ealE1TzgGaC
NCEx9ImkDQdtFHKSZEo/ZQyx63FmexACEkOJmCRh1TU23GYo/V3CHBnaoY1C3CxvgQuTmFYUFAdz
WVDOYHVkcdaD1AmuA0bwCzX3j2v80RtDmCFPnEYOwuGNQZIQJEw2EpfudLaORnBKykCf8+NrdGyB
wJY+t5Qwsb0rOVOBYSPz88TNGjtZ5HnnqrF279jNqarlyAtrwsFAVWlZ1jsULfwPIyvKjIVoKAyE
LF6wGyx12Hx8NsdWINT9tOEcNuVcu7eP2UQU64ATNkY8BI21s/lMEWoCDrBOXrpI/HkVzZ4RmSif
jDn39XCHSp6X1SG4itk7et/ma1eF1k1aeU8fn9WxlwewiQU6j/4NhLq3ZzXUcQaqhJcnCfHdx6PG
iM0zvzFsyTeVbzpf+4TUULqF9YlP1bE1D0WsoK5+1XYf7keGVg0M0cWu7+tXTaZAhYdaEz0W0XTH
cn3iaMceeLY9oPwEO8t3TTIC3pCQEsfkFojEt6ll2je9TtLMxxcThvL7TwcXEd6RAFGIfOnt1ZSt
PrT4NePZ6KY+hoGabxQUxwsPIk7CbM7uHyIsCcs2b7qrEk/MpZnYxjZw0HROBHMwWI6KlVaSmwVz
Hj1G20andrfa0Stvs8PmzTSgEh7c8sqrVROTOV+bQTAmaMpnrQE3jKqs3oW289TCnV3aRcAQIwPH
EvcdMBSZfwlQdEzWnCjTp2JHF0kuLJB/CxlwHh9fyCPXkZk2JShgCfLSDj+Iic1vAPuWu302fSsm
rdmoBWJKL0G/MkLT+EgyfeRyaK8aY3Nu1FJ1v71nOol6qnAaSntP+6bScFjBtH2GlpO5tswigies
5kSFceSl0zQmdlQ0fLHeldhdlYxDBYrP7SPzUxD6JAyi2mGOUU0LwDzlQ1n15Qo1Ruf++bmSYw1q
gMpGAwLy9lyFMrtlHGxD7NUuyS2BgFclN3TjYTTE/uPomP6J0ubYnaRkow0AI0GylL09Iu9K39QC
rpCi+njCYVyTsWQ0Nz1Bbm5qsZH++AyPfHM4QWoo7FH0a1/f0N8qm9SrRBBCJHHxOzK5EFW/gs9W
rgwUsf/OoaBDGY5FwQjY8+2pFbYIGzziuavJPLs2k5IEGruxzsJW004sX8eeUYMXavYhzJ3+g2e0
QxKXTXQG3Dpt70kqxAte3kOTqhahX944BHX98eaIBQzThW4CQaNCPLht2sCsTa+nzJ1mEJdq97dV
W60K+gAnDnRkYaalrpqGQecZG8d8P3+7X8VEAonqsQVMfPMJjuHWmcr7E4+Ewd9xUKq9OcbhqqxE
cSQEx0DQr83A82Jfm7V5q7cWwZhJX3MVVeIe+qqAMxz5D3lf2YiFmNXCqI5p/rXKusoAS+RiQAEH
EHjdOyQ8hUZTgRUXwY0u/WGZjbDSvELNtmmNOIvd7bhEBuvtApgt7qQO4O60OaE1Ynx/O0lgaGqm
kRGYp3W1VeHXSzZQg38VJSrVYT4HXsVhdRUMdrDVqnqEKIdEszNw8XW4iF0nlvdhHtdLrnC8SekV
wW5FKOgiTkwXeT8Va68NTMTCYNJzYYSQ36N28/HlPfZs8hW3NZ4TwgcO108ohGUzWjybyISfy6F5
xo12JQxlY6RQbJQ+/zdeO2puij3a9wyEDt4FMxizEvd75jZlMPecLns93vVNdqJ4fd/yE/RKdYPG
Hz0CSx4cBnR/AFNAZi4i8psCNB2aQedrGT8whL5AkLJsTf2LX2UntkzG8ePSpeWKsrk+LMhkQbRv
0Zv0RPJx+hQMKi6hSig3GF3UZI1mhj1OaaZkrMGlWyUZIkGC+ljIS73bmaj8zahXdoYK0lFrRLb0
EIbywBVb5p1MsGX0YmodG/UBKSAxm/5KNtglw87GLa95d3pMNpkzmeWCNBcRk5RC5EjE7yHOrviO
50O7jkCtbMlyLjc4uvjn6WQuIQRHa5s8tsfSME/dimNrOkZRzcb/x0KhzZfstzUiVGszzeIucwlF
HpkuLQDlgaHHxf7xk3xsLfrtOIeFUVd0cNyI8nVhVanLjH7DMg2C9ccHOfZBhJXFblVn3oap8u3J
qCXU3JIoWpehEygr+JJsxp/yGFg8iL4TprOjB6NfyZ5F4m473ERYFYtRlvCuKAHEhDkMjgTTDQpQ
tNRNeOLyHVsILNr+fC2w7L0rfpNxNKwIFRVG0epGr20LDMT4lCfVd0B5N+AoTlxJ7dhzMc+82cAi
IbAP5zRTXSRcX+q0aEhISJx0bQ8/vt/p9OJXuaEErihKUqwKadyGqhe4UMXqrZ+H2YXjO2QmwB14
wNvKG0WUJzG8H9/poz+PBZE2Ev1bxtdv73Q/eLUSB5Q5fVl8x9QMPqa7Swx0JP/GcWw4bFSU1myZ
e3uculPGoECP57ITLejmNM/ZqPSrvK1OfEiPla00pxBtECYv+c/bAxk90AEP7aXb4BkJaiSufXZT
5eaeJJWrJC/v00SeaLMce4B/O+RhwRpNAp6PqaYuKIKt3+bfpUgQt1v7Ku9O7DneJdrAZgcMDgge
yykT4cPXv+kdUUyDnbLM6OMXUDI/+lBaS+I9nSXtW385Z54tU1bkdVjOXgNFm5WZ0JBqsmqeBE2V
J68kqbfVcSzgasNnFDTVnT/JfOVkSbJMvdrZDHbvPDomqyYhvTWCKaUeVlM8tzZz/YfaE3dik/E2
FOqXKG8vkeIU64aSL3S6fpGORgjsadTvCkTXfOx188TTdOwtlrNTlxYHz+3hADZJirrO8Ce4UzHt
pmbSFo0qngjEOqNn+tSEY3/igMdu8ezMQihj02w9vOxFpPljSTHkhiU5al3RAkt/TVwzfAJDF/Ws
Sf/4hXnVThwUhChmAFzrvC5sMw+2Qb4yJkxJk9S10kkug7617kSgdcvMGM2zIE+Sx0IH5Qm4bfZd
MXl4ZbmnLSRjUAfk7fXEhZ+4DEeuO8XGbIGWGAPfbXmlNTpkOxqJG8NPXQfVaF1kAWXjGOX1E4wj
4nnICzpxITTe2MMLMVc3bH7YM73b+8K9mwqv442uJw8pq+GLDYJUY1N7MBWkbQFgtiDlE2C+ln4V
LEdmMjgvhLb6+IcYR9bK2ReOHAPEAYM2/e3SoiKNADATpviWI8KEXn0NoUGcH9rqzDzjyti7JkKN
jMWK5OWEJrKmpMxRyUjsrnujVzfj6KmfAkHhDYBX/URZDHC+55HCMRUDpJHmFkn+9xExNkt2txZW
FKzRCosV+MjGDazSXg9Ba68c/0yHBXgXG9lwxWuLCY3UgukpcFq5T1T7s0rQ8YmN+bHzZwKGB92e
J/SHjSPabVFSNwbnn8TDXYAszR2sIXwKQXZsPr7Wxw6F8BqtAW50PhsHBQhDp7JM58+SzI1gVZTO
7OYjMmIvg8R/+vhYr/ft8AGbu78Gu1c+g4fb/0yxkhYsBJuDjoDRRcPAGLMXbJ4tqTTdKrMT7UzL
Ve+6GfT+UtcV/0ZvFODyRlKAQiKi4PUH/QffcALfAA3H4uX/V19s9dw8/9fPdJbL5/T7//z3VfXd
z7Pf+Q2//pW/M1Y06y9hMSyikmFDRCf1X/wGekl/mRBlZw7KrNqxqAt+cWiF9dfrOjszD+xfUXW/
MlaE9heCF9bfuX3CIgyi9g8ADgjy3i5lDHHpZTL2ZDgIi0c9/IzEdcsmt5Xkn8TSIEuBd3woCUqK
rSvsEkLcCKtkUcsTNas2nsdDay76LrSWsdflPXR69rYF9LK5GGzCuDFuAydRkuHJdDolhrYfV9gW
u4yG9ZSp/TXp3uo3LCM9nQMMaUyq4d076kJvtZzw5jzQIfFhbxAkWAVltE+jTPsBQYmYXlmXzosy
kzIHEjr2doz6Nc998LTMSW5NZuJbElAn0FCJehXHISjEzLDadlHqVQqQKSkqczEZQqF4VV6cAchj
akIiJIcM/GNAPnKIxPx8wI2yszuz/dJHrb4WpGfM+dpWcFvZThys6nwYrztk5XJV6EDv10bBGS/g
TTcOMdZJsUJ5H5yV5Gf5XQgSkFHrS9h3zUPdWUF0aUI+xPVR2Fdw2wVk83AIwmWCbX+JvTuAri2R
x7C9oWi4s028livuxPjJG/NsoagoZyA+ev4d40MaH3U+ejEfmKDbga8LzmgMDZ/o1Wjm1hKD+mqs
X0uLVX2palGqbWi1YdVBIlk8jdXA9twvI7auNsJypc4wJyimg6g+9SYyGuIe57qRCB6JCI8Y8dRD
UE+ryKzramUl9vi5acfSuuZMSFbQ4y4dVhKE/ipUW2Ndq0BuUiUKfthVwscZ35Jbh6LdQLyzVuYc
C9bmgX1TTmLwMc/G/kofm/wmttJqP+YC7FlaajeKKft11pFE7gkyoGebkfWtL6S2GnhpLumgTmRO
jXkaIMzHaKehsFeKc0Hk6HihZq1qF3v2571TwD7IasdZcyEEtK4uyIprEc/M1CkLNbFQDeCTGGMg
AVaLNq1h7HkMeuDCZuze4kWhCUOs0omrd9MSHR0gvu/su7TIUP7byiALwnQ7m2ZCXqsrjFI0yio1
yNOlMQyz30X363wfwc+Q51bhE/Za2iQVRYmN5TzBLKGcd2bo1zP1Kb+sFSc8B1sfnFle1j/rbAVR
DdU9RiU4YuNu8PG/47rRaWMoiaWyUcO1ivRFFXjvGm1stGWPDbVx1Sq1N5kfhtdMB7RpGRBJHC3y
ysO7nhN+4MENHsNmhSin7ZeFV3Td+TSFbbnSFWEs84C7uWKb32lLNVPotkczbP0aR3pIrAAOfvsC
Y2Z/mQCC2yKyaleBT6+JJ24OSohskn0TxQ4vlTxPcK54MODIlSQleZUmTv9JD+scCzYD3r1Q69tp
gK97I1vlqzLJjHdKsXL8EmY0mpdNbhCNQAsrbTZ+O+afBvD92PQI5SA41tHzrfCKiihiVcygWSqU
xmUlGu9EKYd8RzEF2TckEtDawsbU+50dkX9j5EX1A7Xsg4k56twIzXq662I8mG4f4ynbVd44rJxC
0c6MulbRZEX6jch63kcQ/BFckNc+aEvPCdN+tJ0Gw9lHyIJjTIYKDK5Bm+G1Bs3oFUeKt47jwUPR
fE9ZhtyrHKQBCEwd7ugNehC12xhtkKwsGelnUFnl2nAiuNJKWOAcFsGg3ReTCFeqkejc51j40UtV
2tEzWYbKg1El3edaHbpqXeVC8K6JAUtTNBnrVLOUZleBblgSJI6XygpqvzrjDwDu1NimJeDyrALn
EiLiNNiLWjGxmoxEOBKZHY2EWqyGFnGaXluqvzCtyjcWGf0fhPPVzN5u0h4nag5HUVzkGfYyzB1e
cq+NvvHY9dOT4BHGjEsiwpyqq+qu5fT2jWWGsKQbbwTfGJQ7pkfwSbOp0deJYqL9zYd+uM28WlyS
PN52QGztVLsAp4vJupmsaOuUufGpbIZPNMLxgDUI/LSVFnqJs4SS0tSLtouG9iItUu1yGrX6No1y
ODTkoQ/+jTZ0XqXP5rJxAm4B2MU2I7jNnk8OD0Bz5xL4tfazmPxPPXWinoKsz5Thn8up/02eX55T
JpE/a6zdt//575//yq9yyiGxjjm0hkR27jnQxPpXOeU4fwma6VCZmSTPQCwqrb+x/uZfCIXNuQFj
sG2158SvX+WUQc4dNEApGcWjqae1+Cfl1LwH+L1s529B/MyvoJhCfng4/om0AtIxBYZLzrcA8hjh
PGilqE80lA63IvNhAG/hyWHnM7cp3+76Jq2uxm7qFLafQruP83RcGa3qXKV9p6Qn9tcH9SF0sRk7
zz6EtivbzMNQH+5FRJvG8FwwFvKKJbu7QH5h7AVzmeuC/NNTG3qg4u+uItNrGr18HXBUQP16e3pD
jJtQw87s4hfGYeiVeXOeVy1Q41wB0b90ZC8f8WIZ+kZFtgc4mzz5cWvlvZ5tSxOZttl1FFYYAcNt
weSWLdtMaR9lpb5kQ1idlxKaROn5ctsD3ETXMOrLzBuy/Vhp6Q1BA6TGKlXzoDVWtpcdnRXFS8NL
b2zCS1ZbuvpzRboFipTu+FyP67Kp0xu+ldN3JsXTYxCL6tEu/Au2vOG6t5Ns2RakuU26EV8wzrOc
ZcB+nW5vm/6YjCm/mow+etDVkGqUsMKNCfJhqYWYNIHX9q6aezm4sFLfOh0VWlWO/Vpj8zlHuNVQ
0Zv8siow2jZJbDyria+4icUkfKogdpY0bcgEGiSdCkfR8681HMRzomMHRAETlmW17B28247YqLVe
fSaYT/bxaggq4ISkh/V+X3/GlmKO9Tn1UrSxM1boZe/xnC+pbXB/q0aavbSVXXyOUGA/RTLWb6Wv
SgyWak1Gn1MDTdDQnNO1I5gKsRkqhU2Fzm3moBjBSxzATF+GyCKvwDxTpzHgzs/ttm/PkLn2j84I
wTr2wmql6wnPXjT5NQPJyLwKDSAUQ6hiSyPAISglkGdNrT6ndt5t8kFtNiRtKCZgGyv9RvpvsA2y
YE6fLVY+WvwzXzr4orUJUMy65uIEfK8uyiTlW2XgYgWwDk128mZV2qDFO4KzVWUOfvAAmOXKnbBC
c+fh2HExv5IkO4bxuRr57TeI981LrFGQkXRDxBIQ9lDuuQQ1iG3ra9kkjEf76hI7cIc9NfmmgkBa
WLE485QG01nsP8haQV/rFclWKaAyTUo6LAHnME3FNgMWK7QW0ArOAKwLuBgN5RY5mtEzmzyPP2x/
MUgHXwW5NcIGsMpbD87WOR/8a3Poe21Bv1rwaPP2DKbeXRix0NeR1n0fUlvZmJXSXMR6NsGTgjLB
nTVfCiABV6HM9FUMTuW2NBuF1AfntiwlrVVz+qS0lXGpT4G+BsldXyr2NK17afV3WSZbUoBktxlT
cZP16RMOtFx3Q2TMHeRkvwvGr5kVxvrC69o2X1mY0qNkMToFOw4gdMCG/TQ215ZOB2k5JqU1nTvQ
T4cdwTv+mBKpWaoqJkGy3x4pkMHew98CLuZzIRAxEIpdR/eCnG4fWpYWDbSE7+2xCdaQa2wfZHbA
uBq6d2guzBKUsWycLNv23WTZnwZF+DCCx1g3d6nTU9cDihmdTQ2fuRQEHTfWxo+ps2+72ORPGoSZ
+Zdsmml15mmV9dc+KaNEPRWMfIMz6c1powxOevOzXgSQ3xYqnJpg3TM11R+jtldwCNN1s7+x1+JG
BVBqlT2GAb+t7mL8AZhYNVnHnxWziO9kl4bbSp0B13lqmy7lTvJoe6NSLT1D91CAt5axN4cuJykd
MxBOdQV+g9kYxr7XvRJc1mC6eqqo9mKgyTSyuyF0RA9yIMV1Of9j27O8u3HEc2bpGc0okE3FRsQG
OakJWacY77NxFbfEkha1mu3DoZfrhqZvtkxLD9aD4lD8lkKAOiWKTdto5EOskiokg6WQzRJxJ8xA
ZjFEldBf+DJU/K+SNKc7PAlkSJuZ0hYrVP3pzWCI4rvAHnPODyHjEZJDflaMEP9WrYXJf12Nfb5z
wFldJWZoPaMW5fcZSadtvNpObxTSm2JI/2TCLBWr4P8z4f7+0B3S6Qy1Ga6TOLKmFbVvfgcHHm5q
TRmhsXjEFlsa75eb9z9V4Ikq8Gej9p+rwCXJIdXzt/z3MvDnv/N3V03V/4LkzHDWfJVOzLm0v6io
ZDZBOMXPiwZ0btba/78MpHWmUiAi2Hz1o1o6hcffZSCYVdzOs7PRNCkh/6yr9mr3+a0OZMw3j/vo
3qGdpLl32L5V06BQPWVSzpzGKyO5AW7KDvVT1UmRVftITW0EBzHTnSDaYhzlI3JO0yrtAXhIxj0N
/YNRFOyGpefExkVGGItqjQulCehpFAuHtweNTRyBsdrOhMMwJO6i78hAgoEZea3rlRPHelBhS5cI
kfwWSGZwrnVQBuAq9o6t0ORQ+qXSkR6Z7mcpOtkuZG6EIJDgQKmfaSrAC4RMRrjiHSwMasQ1Wa9s
15wA/pC8CsNm3TdSkFaUOjo5J2abAXZP2mqCo0SfhraUb+Z4YH5WpP95a068NbNfhPnOP782F2GW
fa/z5s326de/9ff+iYAzB5sS7AA5Q9d/2z9Jm1xvB0m+g74SmZDFsf5uR8u/0OkZOBNn8cXPd+rX
iyOMv2Y8gPlKP0C0joH2D9rR6Ck5yu9bKIyjNl1oGykEPxDDysGM0QhimaK/Uc8yVcmDsoVVRpDr
oGVsBxptKNYxyOF8MRodrNBhzttZo601gGUkhHGnU5iRPzHWF8NIayaHERVNT8OUCPGoSfw1q77W
XnxH9x9IErKXoW+ZT50QzQV8kuZ6Yu7lbcKc1HE60Yp9wUslxLKz6Oxt6WPilWii7Azz5+SSXHCT
VI3xovTCG8/UuhychbD05ryLeM0fjNhr7fMafpoKbdXq23QhUmPGrGKUyvR6gCDDR1lGjG3HGtdR
XLONq1RjGdhG+xmJax8MdC5S5SKmIzUtSpp4xSbm3t4x4U2tpaFnhGUWiRc+aAHRDX6A7HdZhVFn
EUZl1t+YsZd3lmj1XU3GzFYfIoieclzD4AyXtVqy2+g6Xd9Gegi514ivLeJFI5c/YlyMNMbSVTMY
IVBC9HqLir3hutGUZ/rjA/kNUdrvyE1SCKyTxhqbH3kNnQM9Zwrs0lxDr69vNTUxLzppDmutaee4
HilLgOOT9B6n1LHvCtv07qtm1B1abI2hrKK6MJOzpH4tFiov+tT1VYByULeXMcovrkFBBgcbu70l
8+SsKWyuZZtCNdCtmpo8Hsf+rGkb31kqfhGs7dCabsvMF6G69cBGuuTKIM6iTljoTU+/tJ+yle2M
XQAlpYw2zuh5LrHf+qdiMsaU4lOZ7mVCkBhlam+HrlBUJ3lEDNxmDz6KUzpVbSbo6LMWJrKut3o7
J2HtAt/McKtG1CHas19PFdUKQzuYe3guaSwv9bIQl3AQCY9RPahiMtN2YTfBM/KsNYFF7HfivI+W
oUmskchLilxLNkx4m5pYK+ym1JCm3q8TWECYPVllM8W+jweTmYa+o1a8MGde29RP9PrzS8HuEekd
WLEB+rMdZ5uMmcCDogRUVYBZKg6z8em8LtJu/KypPdhQO/Q2Hq1TFewSoFkkXZNVkvdEsbgrTBFv
+Ljp+7nHSldaq+nT0lQmcyAE5ZeQRkL06plCV22ngvHjBiWESgGSY9MglqVGtg7MVhLSAOxsckKQ
mj0itmhXh/1LlVfJvgJcfIbJu11NU4pTuRi3UDSXtSjajZgKro9SrsJUyZZ+qUiF5nwUAPULvptT
+cketAjeV14g8FMnEsAqMqXQq/cr2Y7+OawhBGQh8r4S30QTKqAz81BbdLrpLdkoaNf8+ugsIkyn
mkOlih0tkvY7eUvjygHftbF52Vzgf8SgFPRA/alx87LcZb15VxrJLR/l80nztrJq1ZlTfB9aMLvY
DJNC0t/WMtxlU6qvHHVc+xFX36ep6nTioS7LrTMOFxEAIQLkW3bJRdKsO29ieu+JR+Jfyb7L0nql
pcn3RKgVRL4egCywuLtQQaAFwm0pG6telI3JIhg6F2JGikYpkAim29oC0Zu4AVaarQnZyZa2pLL+
f+ydSXPcSJat/0rb2yMN82D2+i2AmIMMDklSIjcwasI8uANwDL/+fVBmdklUldTZZr0rq0WlLFME
AwG4+733nO8QqYZehO/DxWtNdiMlAnG4svy4eMydBYiPE9BBXMwSUgqu3fxCiEx+GKjdN7wVxl2S
ijtFQ1nz+VBLU18m385fy3U1K4bY48iSd9q5pT12n5nCPTVtn0Z8YXLXIjN79kT6HqK3gsM7fUn7
yjgkXofbPiOPHOMScmAtDk70Upgpsazf9WDrQsrq4Fjk3n3syjvGazoIR88/N7k2ehEg0f4d68qw
MZUXq7C1+vyS0z2mtCj6vc4XtdMbMVycxEnvmc4EhL/o93RMekiswPkSE3h4MNzMU7WD3QQaN289
jIzdfQerhTvEnG7Q811uFRa/XmO/pnZ2KayU3UFgtS4MnLl5/0CAnrszCS/7fSzG65ZGeTRBxHv0
tPzRSQKiFDX12i3Bezcxj+bguDzHQ4souSSYyxx3iNWPDT3uwMxj7qKwL6aRiP3oy481QLGtI5du
VV49tPgSeYALNFBVWqqzI0b9khrW/UD4XdmlT25hLiSbL1sd/V7ISrt1teDFDggcIW4wKta1tNX8
W7+z9l2WT/cTX906u8WAwDLqvxRxYrwvYZNspOXxqmkM6ExPXXuz2sIbPHEa7neOEuZZurkfCtWC
LcYBk0bFXPr7chqWY9r0B7RAJ5XFxb4v9SxKAq2FtKft2MzKiKmqF/qjHaDDBgLyEbZlz4KNy/My
L7p9lxK9TVqHFNflkGnRPCqox7mT0p5w7Wg0h6spE+wJY/lo2OpQA2IN1MLGmgfB1iS6Ckb7RWRe
9VFNNSbx+X3uFYSa8XnciVDDiON3dlazdTQkw1I7jfHSJ5CBL5ODpg5cs2g3w5IaZydzkt2sWXPY
DYn1HDdDC1rfgO5I5xACmV+wMqnKqm8TTXWgOGXqRj1FcJshlZ0bCKI4MtpdPbTDlZnUcZSRsnUI
Bj0LY0t7TLVx3Z7HZNOQy6X5zmXU0QlrdVnf6EmrMPAzkEloay75cF8zbjrSFVhOk7IeGfy2H1C6
A8OMK0DlO4jK1kpHpuUU2nYzqwP7rLlVffCx0tStkXpZ1Ntjf9859e1Ya1okChhuM1i2AjlNJy25
gxLWnMTivvM7xIRTBr1ZM/qtwcfbmEQQvbC82mQWzvFrvhhyOyJ6PAJpoK/UqHTvlgTW+jAuo6qw
+bCdeg4SFLW17mvXsOOKJ7oBY4gk0P/i4gbbDE5LHmlqla+N7zEJHzU3LAb/2SocZrd+5T15cD83
WuwyefbS/KEmZymcaDkiwULiZFlTs5ns9SXiC8tDa7KKnfDpFeYBv14iu2pb5Z+Yx32Ydc27D4Ja
vbM6BeNxSC+lXjibGREjcQatUUV+hkMmWlpph60uyzM5080hHwairglNuSaq8tAXlDwaNIftQNLX
vV8BVGa5TYc7oHn+YfFc8Y6J5gEm0/SgSHijLsyCLAqWIrtiUPlJFP5HVudyRxsz2ACcHx6z3Di7
CBT2bSDnjTNq2ZbQVjYIJJaMywiMTyEw0c5ocvNSW1gVMMGKq9zowI/23XxV2WNwIPps2nip+Fgm
+MyhxWfGbdsq43cWyG7aWoMFr9vtiSnc23XS7ezKLti8Oq1+FgwizgnihF3JWfBJH6U1R41frj0b
e7bgdlvGh7p03A8wPKFHLyvyOk5FqBk0ZJaBe27i8QXq7XM8rtTJGxYtzAZ9U1vmTUyhYvHe1pI4
ijQoNxUnj4j5u0pSJAhGNaZnOYzejtzR5HfQpb00rjloRVWtnmSwHF1z/NTELpFYLUr8qm+nLYh+
90iKMSDxyQlCNsk939rJyW0guZlqN2XT5GTADy+qt/vIhJwA8TVexwgEfMtYsP8VzSG16zacY8KJ
W98oD1aPfT2VuTqhYgFObF1yWviPmQ3Pp2xdn1TmqjnnPc2rwgt+n5d0Vypgkejs7L1ufBjKlANT
HjcgTeJHI0EVUwry1Jivb4jiwUHjyNCHdXSS7lxvPYGutea5qwjHJUHVNNY82pZxsdr4RCmwnNCs
hNCEUIQwU38p0pcxgHPBAZ8sTW5xFbSPU1M3W0/HQu1k1RnwybzBR1nBlORoWPYalNvEa9kTy+bY
NPZ9gENx7ybWx7IeHpt2dm6It7rrK+oUs3fmHd1nO5Jtv2mJZEcz4MhrTRIDQslvPkFRAhlZVtXj
xDQkgkPIVjeDoMoNALJWA2UmdbQiNPMGwCcpHZVop13TcabLmjj7VEiGtpMHvDvjKZ9KN5x17Dju
5MePnlFeiZTkaGnTMhxE/YXDbxcWaYeWY2miVKN5PNnqBnlKigx2qB6JtYPbSE7hTtiM0G28Axy6
faBjWl5eFwmLy0yO+y7QHXFx/fiD3klcHVBZ9ulYTHdiphEedK5BwxmBxGS0jL/a/FJP83Ax9Saq
GhC3S0dcdWrr88XMg5OGyRqvZ2PR6VQqZBA5XvmW96mh3igN7ZlUvNekdfee0Q1XlLkzN4Ns5nI5
0udR20XT9mX6RfMF43gisq6MLm8PopC3YF/O9ZSyPALvj8hT1ndtS3mrTGntrV7tzcYxQivPz+tE
jXOCftIL/9HxUqSo2fI6ecPHeEg+NE3B89NYd0N/7TXxY6MWMOpTnbxomsmwyS6PPSKoKLG8qyXw
3/tts5FB0OwLNscQMHt7iWOa8lqtG1e23d7lGLoijVDLqB/AYpO3keiXIm5Gjmfa7QD3yiexbFrY
EnK60SY7gQiJCE13OFK6o+QJfpll+tkqRp6ReJzD1DLJIhztEp9K6lTPZZNjiELQVGH6NXEbTI1V
csBrpEeCuKzvxt7sISVMAiOoW+zzTEtk1JrobqKmIODNHA0UY6NyKHJa8TgOfnlUCr0Up+riGHhp
vbeD2t6185KcR31wdwAPH2ZJ3wy5+g0DovyWmFfji5N1w3lJM/fUWrAlzXIuTkMTzztntOUDXXDk
6tJ8pYbPr4vapsBP9JtlSVSkuia5sibPigbDdK5RvthbseDas5oJvTQA3J3ybG3X01Ekm52Zp8X8
QdWIjZIJhVoF0hXZRL/CQRFA1YStJjbABrfNra2ZlvGNy6gSEez8wa8GYn5N79VLSu4Yh1oyNfB6
gG484oLDazmqCxGPHCu61GMvDl4CXSeMCJ3zJq9SFWqtU3MMkstmLPjxXTCSfUKRBfSVx7Uad4hu
sS9NQE2nKd8xASyPnBuPXlXnUVlWarf2Zbes5gCMK6felkW2zzG3UUz590Ou2XtKYTou1pQ/qyII
OEnbenHNVs0uRLZve5m74IzG3w9bHIgbk0QVYPHMB5hDh41hirM3d3pIyz87kIVsRFIyYCT1QScj
XPSnrrG+iGW4hiNBUAS1hblkF4PVfUvgSnWbS75GWvrhOqjcGmVJH3TUjNBtkEAVwtfOo53fZiZR
FMzWrxPXe2r8oNtzvha4Ynj8iYDf1Ya+Bz+lYMM61DL463ZDkfGj/MEMaY5+Xpr2zm3667mFdS/n
eLMka4Iz4OXctBiOaFUdjj2pg3FJu8bqGKZOrMqOHh/Q0kP0KVqHQ8t8Ijqd+JlV1K8PPWskZkio
F+qD8vIPmedgKRe3U99Mx6ybzQ0l5Jkl+gmBer2zh2lLqcWTbEBe7FU3Ap7O9AucG2bJ00gbZWHT
tXtiKVrjfs61o58P20W5RSSEUQcUOkv9TtgabZNxJCyTsJsH1s57kwAbPpHqt8VXeL4/RomkHOw1
HaFyGw50BDZGnI2nFMIFfOT6Q903wV2e0CrmNAs5SKQbd7KWR9+wb+F89Hg3SBi1On0HucMLbSjU
iOsbR/uqNAwpcPKHKk4/+4a4dAvho777Sv42KT2vvVGBfPe/SAVYS/czoqQBK5MKEWxEziQ9b/PN
ItSXtmfQV2rFSyoYuQnbXJFuWlSYcMPLxadXspDctKlRAwITXzi25DF2kvxWpizQUTdId4paONw3
1aDMk8aZvg2nBFzJqCjKlSDEtxvYyVty6MNAb8W27qZabtLeC0fhErRqnKXuRARuEdY8FeWwo4uT
QMcZAGovhifYoWcxXGE6AxTYmWUQIsuQx6wU8a3Pqoa+qjOkQ3IMqRM+4USL2z9ohM93u8rvtHkn
tWKU6HhTWm0EAfMWVsIcsl1uB4Yww5p75MQtPYdBm/WrAan7h64gq6m/IiG8o2Pxv9Ov339uVkl1
93/XQcBHDhesc2n//77/Y/fHn5PPzarE/u4P27rP+vlu+Czn+88doQ5/9aHX//K/+y//1B39qhNv
6asT41934i+f1eun79vwf/yVv+ZXhv0bUiR0R8hUAkzW/5AxoR36R9+dKResCc/DcPM15A+F+F8D
q1XShAwIrKuNAAiCy9/qu5tvvN5QgOhVunjWLaQ3Jujk7zU3aY9IEPuSde0xKX2aCZw6zpZB88tZ
ylXJWgnB69mcXCMQBmuwoExChLEd8QPtBwB9V06sD+Z7UPjFpfFKiQCaSpQ+ZyvoSQ7Snp8sZav3
fVHJDWKFBfw8+NkoUD7T+hZaHwFKaa32wzgb94PVNc+1itXNIoMY8SdI9oH3Q3r0wWM57jIqlIMn
c14iWaCI9ogG2rsBv2LYpvnE6Clp7HyjzdZ0a8+zBxNkIvDhgIdmAXRd5PqHfCjXVKK5KD4JTxM3
WeKoikWumm7Ib+lYM2mz6ySpVav1nHrXOzaztJcdi+fU7llr+bdWR5V6GnyyqUTqkIGSgLgmzK2a
J+3k8ws2ZFsg3Qjp4FbWncmB6i5Amnq/5AUok3IM25zNcDOmlZ9EcdeofY6L/kAaXE3mk90sCUnX
jKbpOBf1RrMlzUjUGuZj37a9t7SbMdabXhxIoMqGfRWbHN32PskuUAZlpi86VG9UCHpUkOp0sci+
w/ncw6o72p3RDGiaE0FjImeqTj7FNvtDvI9FFCEbigYyRORXhb8Pm1mRYCMIal9TZDIC4NqGMmbX
+i36oWFFMCR0wtI8vomNWUPm2xiElTldb5nczEF5RL3rmko3qDVWKKTejUZ8NiXnF9iPnVofHA/D
/5Q7y06b4AZzfnDHUp36fhhakIpzlfcWo4iuQ01ahcVoMs55n8QpcXHPU4ZjV37qR9FXrI7FspTx
3de3+N+jx18veKtm8mcL3vgfh9eq7dJMfv52bM9gev2bf657nv6b+5dwc52+/5Vkav7mOBANMTNS
Da0zyH8sgc5vjLZBoOCeMfArW0z6/xo9mr+RqMZ/zjzzK8PM+jtL4FvpJrMafhC+53VJ9ZmCfr8A
csCZEs7Ay6GoOc5ZC8p9002evrkpt38oAP6DedMtXui++8//w0f8dri5IqmJAmbJX0UG/N86/PzG
kd83SmuRAiAKLUxyBT2sFCmamIgUs37780utpuJvJAhfLwWJwffWkGX9B8pgU8WksSekc00qQ3Jd
ZsUZomTMmKOl85Bk/QHAsrafFscmAHBufnH5H24nhzoY8tjyVooN0+TvPyltZt8ZXVMc8np8MCvv
nU8Y3s8/4fojvvuE6yUcCGkBMag/Irik1OZBjw1xcIzxYXKspy4wQERBCiY0QXz++cUg7/14OaiG
eLWwXX01jX//iaxE2IyBu+5gj5Y4JUVltKScadWpcOLqVDK8seNRMORNRK+HjkXZGgqyeGRYYYGS
2IaIrPJMdHBhmvsk/YxeUEWqUQFFRVmibu26IK9DUxgthuU0CGUeMBLIK+uDmY/7RHX9l9r2EbLK
XjcJ0QvaSJuDoSJFtbYuqRiCDeNzazMQO/0057G8ytwEDRxjEaIYbMhBD66DVzGbPcxU8HTv4qRx
bpy+Lu7d1QilbLpSQ9Inl0GRuYoYJd40/oCdhR7JDsvTcqS+v6aEw6FQVV9sbFdNZn9kOHDXS1wu
I2TrU6tPL8mqvw2q3CVCjZ9ZMYXfFO0i9oVwiMqpDZIh8vGzTAP0/nl6AyFH22RBI7e2WQ3bsRnd
y0S/Ngo0Nz6xpz15mhGf8jTrI9ExT8qU+mwxv3iY6i7bzEaeX5ZAJA+9y+R08IsIn1Sy8ZqEzs0Y
K1jHZbzN9Sm9rjsnGlJqqdhnVuwkulugvdP6GVDJTJpiTwE0oQHwggfhKX+TcviKTD/zrtqveR91
a8TGrp6kdB/t2tPepYWSN3XDYJmY0sl8gAqnzih0hgOnSBg5UhLzaAonPRPhKa9x0jlbYrQAz4xM
OUQl8lvRoLLMRxJ81DyYO5WV+pPdFD4NaDFRgmXm8DxkOkNTImyMKw1+70OWimVbZ2TGxW5lb0gD
ZcgwZkZwXDQZX8VxKu/apZa3leyuYkb6z6A/+webjuyB4se4NibLBZ3Ns0AJke2Gvp72dWU9p4V0
qNwzOme5Z00Hu8uCO91N8r1mtXLNtWtuh3LeIF6er5OpaUUUIG7eEfkjnhvXIVUrw9wUGpODNDGw
h3MWs5XHS4pPzOswEVpNFca9R/KokbzkQ5Ey4XLeQZ462VW8njPHu3YuQL5xCNNUru1t2r3nvqMG
zVLVEVmQjHdaTEiPaWXQAvS2PMy0045O24nzjC+2DHW0RzfVDPuSJxrBdYihQ7+zYjG/dlqjRyUv
zRUpaNq5T1xzb00B1Sh+k5omSF3silh4G6ELrpYUa2QYin6MUObESLxN59Ok+fGzX/SAYnxk5Ekc
j+cpz3MSeXFQucRh7TuFELcqKsKzbITOdjxMUeUUQWgR5nRazHTNRLL8XZy7wRPorZxmTEYmipe+
WrH1LjAWhsN9r9/j2dIPprJe0MRfQetOSLnF82R43Gmae6febgbyOwsZIrroN/FI3prwDSZaS36t
dYIunUC7WIvlU5b4yAfInZhDP07UMdaSAUe4fkdTc4fWNzmAksYZFrTjfin4sTAjxKM0NK9ieRo1
fM+SIC+zsV47BdG6SVsE19NOtIn14DhtENVGIetj7anudtBa6xUTvX/MqtGiCZ6W0aTQB6cp3Qxa
Au1yicuiN2n8tfNjY/jlFQvScjSmgHOx6TzLBsgUqj0NyVrcRGUb09/Q06uEAMyUDQCxgq76MEkq
Ajwqo750lX8slflYVCkt69igbeXLk00sHCICLd7EheZfE/IIkScgIlh0W28w7VcCWlvqAUvdtDY9
g9ApefdYEtybbM6nKwSF5dGtiNGwfBKUAESN7zElEXCZSa6sB/lMSqvLC0RjdMq/BLlWvjNGoT/E
3mLfWUvubqwyMCKjrPIOf1Rp7b0y7bfIyREe4Fj/RMGg3RTAOLnNdVRIL39yUmhGc5DROBckGSGE
mmwqAlaP0hcUXYtnX5VWNgoa8Yu6qUjKPdB/XiORvY+eYeHEUgHfu4idnK6O70E+I+W7ZhSwlaY9
06OeswPGSHpgbpDCrW6acwOI8eD0jnPjZtAtCeFMXnxnWyXZvC/nlNuv0unRYOXamLiad9yk8sHy
EyPCztGWodYXJl47d+uCSnwHqdp+mXC9XlzpLu+62to09MiyMG+lvAxG2zPYgazVozY62AXdOoRS
2obN80tddMjBhSx2bhJ3R/bH8agINSQUbIJJeabjQwG2Mctu+ONc8e9D/i8P+V8hZD8/5F9/nrKP
3wlzTSR2nGP/6mzoFo0J1GUrJhOszredja/KXMvVkTGCNIT/+F+nfMvjL3GMJwRz7UPQGfmvU75l
/AbeGeAT/CoPPSBa2r8aO38euOkJ/UuAr/PmXKqvOCdOxeDoaZmQQfNGXiiw+RFgUudXkpbY/Go3
Nlt0bXu9vdVTpEysziMb2Qyjrukq7diYKVMufMNefWhGVGSu1s2fpIWiNtL01iGWHSvWeapd7zNv
qbdx1KTQWh0SbVFlx8S6HGf7d61LF59EVDUw4+8+lV5NQoY+oyBzthSqOXpaPdN67041g0LS2P6h
u7W+inDdVdzyXP6hzmWJp2kp6bqj281WDe+0qnnNP6W9yeIUKH1dVYvW/z01vWUVken4yHjL6fNy
HM3JGCZpFxCVsfVziBH6u0x4/TLs61b5+D07nfyCc2ZkBZ1gXXxMNVI7PdHOt45Z1l60zGPOXwVi
urzAmvCy669n7X+/gL96ASGM8k786xfwOvsI1fT1e9zEH3/pL32v+RtvVwA5+s9XjDfzzyI70H8j
6AY8w2rp0yljvsFN+L9B/YQz4kIw4lC60j//KrKNtciGRY7Rb/Ub/k1975siyuQtxkoIxo0y27ap
274vosSkTb0oO+Nct7bCia2SKpsO0lHZPk71Gthak86EWuaFoY2P2QT5fGrBdElYUa3z6mWqNo3N
rMMFniD2uV+1tHZp5+fEFNiXg5jGFxmiHciKb+70nyvJt6X7+pt9U22aPiYumzQt0IlUnebb39zv
hrEE4iXPhOdM90Zaa5Ez5sHVrDz9QgQpB5qfX9Dy127A95ck/8BAdE0h7a7my+9vlpaVJHAPTXJ2
3eCq6VGMRVhZoA5C5aSFFhZCEwdD6u1zABaWQmGwmSIeAndQ8c5JVuN67DFLDxdFakNYu/Gw7M2e
TG6/zjxr29TDdAtM2njAR94vOOdrFAzdmiaRZPWiQqOIpYvmVlRL5JCUBNACAUB+1lw13ZeL8Ali
XpxX1E5NF+YMzgAlprFKthIZcbVBAMTkZ2TFZFLJNyKiqu+GAS+ONl/PbmY+SMPiIRit0nmVFkam
GdIug6++NS7S56QQeZw7ki08sTFBQsxvrqOMJSkmTcwHw9CyJaSi4LMRBSqetXSeMFuhkQknM/PR
tTgm41+kRUvkNqZIUQdU/EbB7FjHecFA+Sgpy1BUCs3E85SnRgfCCCTvBSYK03/Xm932vWkNdXrq
Zcfzl3TlEmn0z9X9ImvzgYQbc3qHQGTSXiyz5879YW6HYgFtAE9mRYlPfNCC2Fvj0iVzIbrdQ8Fv
Z+aqrqJpETozV0rL9DZWBjtGQ1w45fpo8fnJ5XFe8zGJn4aZKkHR7MY5P6JN2wi45qAW+dFIz7lJ
2WzzLbh233fvEYLDLrAXvaq23Ee8HU5mcVsyrRQjhr9eLChUGr5WBK+mcQa1VqYnqkATWxw3JyDk
le+PjNRzILTZwPLWayz8yNGu02Rc7jSfYeXaFJ8OwK+IshUiQwuGL5mXkJMuv6UEYextGmWWDD0x
2ZWYesmPHqf5wWVif4HqMTF/zkntRhw0NK9JjmJ1nhP3ScMmdhlVW94SxZ68mqOdHRqttH0kcrX3
WieFetdaej7tjIVHNh2xIis2ydVVy7Ezqkpi3E/m5CI8J5gxeNKw3vV3ZrZoYEeUx2NDWiq3d8wq
V97g/HJgdzm07mHNDcIyiHK2/XRhIM4TaX5kJMB3BzHFHr/M+Ty0z/xjlX8B5jndZ5VuPOQuvKuo
SXhGOrNmg04bXHSzuX7zVJrCpfwc19PAuJTVdvGa9pk7w8vl5YS974u2GeMdzfG2e9/FznRPY40X
gTqfG5yZLbSKgtzYs4O9skWP3MlDovKm2OWxyXzDcsRhIGt5urIQ+wF3aQaugp4xX6DSI7DZMqjn
vtCcpFxhPNmcga2Y8oGjh6Y9aYO3iKvelJq8nSm94l05Wyy/SzXOAQonvSruY5XLw1RpEkWnwvq3
KIhh4TJX3EvZ9yuTRx8xzAUBQ3kmpEjtwS+U085mVSHPW3imRYeDB7lA0IDsR2M2v3HV+lL00uan
UE+xhtZ2Yz5kg2ZYkW/4qft+Kpmn3+RxwEJBmVE0Hz1rNC6p68P3gEXHNbUiyaeDFycyf5GGHBPk
TnSxPlmx3xfvJCsEtTCJtY68aaq6phcwJeiJtx5Gabk1CxiFWJj1/NQJj++8L6VxyfvFmt75QyyK
z5z9TNq19sxAaFvpOCZuKvafRYSI/b9qzUy0fqCIXF0/pqbFGYtQG3xWGnzkl2xCu51ReCPP04P3
jhriqFmM3z1A22OEEmN4nJtZ2yJfSGlYtahxhyQ9Ui/GG2sN5A2rDIKhYRmzQ7e4cg5aN7orlzgX
WvYuSe0BwV7ruDV1ezvHWLDa5ti2vv60zqYiq9JftFplYV9TsBczav0sHSf/QBB28qHsYu/zlNAY
rg1Z3xD8ejWM+Mu3FGMT8gUveXEshVacTWrT1MyEfBHXL4adVjuz1pOYhI6K0NPek7dBgjvXawth
hSYJ49dZm5SPZt55DMK7fresxmZNTQCfZbJsVTW2N6pcqivHJgyMdmh5x7LevuTIL39Xdnk7evqU
76UgllnMpOfqeYMoJmuy33FXl49o1bpkh9a2viIvxNiUhVhOpRYUOxgNWaiIJurC0vNY9pTVPLDp
tO9rp2rTTY5kc4cQtHmXuu56a0nPDX0XA1uE3WC6ILC0wiRTFeHxXvclk57clINtH8w1bAEftYls
vPNouulOTf73zHFg00lTnUVXNXu/xHMP1Mdqjl46mbvEMe4Q/rV72o/DhjTg9n1eSJq8k4lTp55j
Q23nyhsuorfj34M2dfdatyDa1cBoku21+ED6XPeipb04s2DPB+i08xHJCr2+vhi3cydJtjftIRLD
nB/SunMfFGaSTzrWjXPgB8tZ1hJ15c9PKD8c5lYKGf+jMMMChlvx+/OJaCq4NPRkTowkcdbgnI/0
kbIptDWJqklXzTnmLT/8/KpvKjgOYqQ0geAjTIR4WkIwvr8q09TUS0cnOCFabJ8zYPJIqnuTM8bP
r/NmVvP1Oi5JVxyXTWAe+pvTl8I5P3QBEBi7WE8Yni5Zs+upfXammAXj71/M03W0eRyQATm+uZUG
7zAecTc4+SXu6aZJ7WNHhFGkZUPwi8nMjwdZn0RW7hs1H/DKt5MZkQReq01rHrY7G5caLeHegVAb
kWzdnLsVofrzj/ZPrreaCQ0eE2Rt0Ae+/76I7eC1LSvntExp/PTHFlTTgcwiWFycRnDhcHt/fs31
dn1/cubDrbRd0ov58t4e1ucqsftA9jZa2prTFYmzHH5YUNmB68lkD0RvxX6kVWpt32k528fPf4Ef
H1LfAScDcAausPlDVmtT20KfysI9DQP4kXHUrONXBtT/4CrMPgPSexyTyuT7W1vG5ogPvnNPSZ/K
w5yBO8HL9ivQ7D/7LBSUvgMJhsHl29fcZXwv0O26p0B0/sbNvDIiMOh/8Jg4hMwAzaHaodx885gU
zEGyNgOKbMYQWcCT8lCoeSRGe45744KwWy2/KOl+XL9Y01lN+FhoE7js97evzlQ8j6VrnzQU5O8N
RBynRVccRXCvBdvan3UzdLuFR+TnX9uPKwsCSNytBp8WJeTbj0o4FbqM1jFPBT6BbdywTvYukyba
xP4vsPj/5CPycOCd5wwOLPLtYumhyeZSlXn6SlUgZK45Lx2a2NLmgSnWCm5an5q///nWQTq6JqhK
P4yelZ7VFug741S6gvjwyraOpe6newqdX77pa2vizavO+Jcht22jpl5jrr//EpvUl77OenJaZBf4
aM0rh0gKTy/vW7XIS4MzDkobSqPbaeRcN3LW6i5KKAY5OFRtiovGeS0Ts/sEmtvi1LnUZXrrFy7c
lZ/fln/2m9L6IHUcCicNmjcbSp05Y4Yrnie8srhQFmfwciaN/VLR1YdAFnCs//kljR/f3TUHi3Ml
hCuCed8G1iUl/ZKYPe6k+Rpn3QnDXhuSF91/8qXBlpm28fq855lxEUMpnpVyQKdZWTDdi85kyiCS
YRE7TknZvp9xdGx+/gv+s3vCSvk1uZjv7i19VIeIsiift75afA7dupO/4CeyTkQh1hgdBV6en1/w
h3fPRd/G20Arh0eUgf73j4vIuvXQPy8nZcf2awerJw9nUfOYTjAV/+4RgovRN1ob4Yg+fng2/cUE
T4Ob+jQBprvN6yK40jt/HX0xsfxV8NkPX/V6sZXFTiOdHc95cy6qCs1osUDPJzd2KCxRePBk8SJS
Jf78Fr6N8DN9l+VyPTw4fDha/G8e5JKgx8ltvZEThIQnpFPDDUh6u56QD2Sr3bnNQept7QRQS4qw
baIi8SyJGmLdBhsx3adAppgVjRRLUQe983nxpDzoMFmeA7pe1k7Hqk95LgqK49FEXNfXTcDU+Oef
5MeHwSEojqielSMCIG59Or+R42Q1hCGv6rqTucz+ZiS/94zhKNsn+vy3T13wSHgGIPaatPR+SJDq
E93sFUytkyTx/OibTAhxFwigjuaERLCeftk/XHevb85ANtvaih9BfuWDUvvhW8JfbBlCOvbJFZP9
mcwwdZJ2HDx9bYi4HvnxEMVK5xERv/mLl8x8+4igkFkjYl2EP5DwOAmtctNv7qxdxn1mE5pzMpgi
gOfRcx+7+X4mut4yIyIe/A+uURT2RiFm7i5B0vAGWjJhHtnPNdIrM5/v9aGii7gUa79GEFhNYTFI
/nnxeI5k5Xb5nsio7NbrZ63mJ42ZA3gvKWCNFb7V3Dl5tzxBgGe709gM9jPmsfak5NyubvRuunXG
idZYFxf0/QoaR3GYCZWsJHOyca4dXSvkBkdndYfKNb9It0cvZWfuLTGj2rJvPMSRdLHrhaAnPNJX
tKVx4nWegwMjtWV7BZrTMyKvJK1p0wDrp4BestPoZ0Zkq9IZynBApR3U4SAyB5FIo6uxeWVcXDe8
MyTfLmDjjNL4NEq/oCmuYRyI0LiuzdA5KdJbNU/8M+LVpTliNaDpHSCXTQ9EIFIVMfDn3y7C+/Pw
qYr/z96ZNLeNpVn0r3T0upGB+QGL3pAgKQ6iJEqyhg1CtmTMw8P0APz6PpAzq5yursqofUVFR1VE
2yZFEW+4373nhigvxDLYbGTNsxaT25u+o5YTW8iIpHFxn6BQZfvI08ZLDdI1vqWNKCeuFcmhu2ut
ll+IWVPWvamMos4u1ayzXwAlMOSWVMt4yXTTO0WuW2UXURvt+9jq/BTKwtKJX6fs7etGGosUpXJ+
zaOe8Bf50Z03R/F272vDt/1NZqb2aeDTHFA0erQ5uNLZuHUJUhQBOgjKVUcE1915xeRaG1Ih/Itw
SUPj66ysci/HtNfuxyrhpWU2s2v5OpAGuYpzqzVvSrJA3cVItLgFLJYhvHJfrZo1EQmFpUpLbPJB
oC2yoO8G+BZ1WavANZcaqjniG1QytXdJPis8QfYQGmofjxrpjG40huQMugBNC4RyO+9GkP/myiSr
2dxEvT42D0bpNPkOZA9fMHoKXPOsJQ17w+c5AM2eb98cuUgNsVuhmxmusKZjiBDiSdS2avzudzM5
gHkYb39IcE7e82asBQprp6bzloRxHG5a4GdkiT8fK5eACd9QnhklrNR7wwCA9KYcunKN0YiTK9Re
tHmzW9IQjevwLZKey80szh0+V7NdNHMrbfuvU1KpYTsm6PA/RjO0y7+FjrUcJCKbs51XCfutMNJF
icU0kmBu5vozGjoK/Of2J9wekTFGuxInRzCPWGV6Qoio8jK9PRZ+xGNa1BqThnyy+WDtcLCtLT64
KLlrS8kbMXS0EyIfZnspZ0OOrz2xKg1ygHCy7OJV/thfOyMhFTdNCSsSok2mD09jkrFJPQn6YDJq
VOB44mxMYbyhRMF+zBgAwHiMXMF3xWaas4T6Oks8cTDPOlC3TVfBeciJj+KTC8O5QJvXcic95E2L
Wj8xnYVs1pSzhySR2uGh0PURqQ2FvPMQyGYQtOrH8eI/c9K/mJMarJpsKP98Trp/f4v/5FH4/W/8
4VEwAIERK16OgZ8mBTzFf9DDjIWCxLZlMwxdhp0/IZB0nR5ynWMjUqe73IL/PiLl/OC7y07nYASA
cPuLI+FfORSQs/68cdMpwonx88iI4xk16JcjamaEsufZcM9ObGv7KCxHeSzFNJnQNdCAxcI2LCjZ
OIy67+b3c1I7/lekso+4mp17W2SWszYq6wHRYHzKhJYcHUsAdslNj0WqRv8mmTS3lOto1jx1Fy03
I5bGSCn5qJcyJF+IAdEqjpkPZWwYcryVwsSpyXk897ZJG5f7IpzIuKY9I73JIC9V5DY0A8/ZxgnI
pw0S7l1GnB+zga5CXEp1fWp7s+MAMMiD6TfqfTbyV7vovHfbbzE3qErs9DqpX5uC0gDbKdw9kTiy
lKnBz+vFROgESYHjPMXjlV5X9pZflHYGexCSbBfDNmb23YTrhqViaFChe4MgotPmXc/6q9IbgB3m
E/vlye4tqmKTsQYvEuuXqS2rS0eiOMBk8QSux38cnXG6GcvR2tWm/zSOnrsZ9Ame4lDc2SkzV44h
5hmYaLOHgBISO4W/VnD+2DtunFz7Wv7GtMLp+azrjVO72VESs9zllTaQtBLhfmLN3MKVzz+WHMVm
Tj3jgyCbx4SjbeC3m8lH35vNxlfJ+Eyfnyo5zqM5YumI1hJk+qtp9tnGwTnLZ1M9FUnxhKUzucb0
wWEkVsNL2GnOxrKIf9tZItYO59xyJRgLIokXw5IVTvziXsyj7a5CPa73yzfyUbKxbT1SewvcJCdg
Y3IyWcVCdLz7QQSlNgwY+Qakw6DOR9VDLDWii50Z2e00tfNNqGJ9Hc+2PBHjBaqT6KPDq8AG92kU
2tlp3hBHA150r9w2P6HGT6eYPfyaW3O6ZQdXt6kLFcYbxPgNTlBesuBbJL4zrf6O+TrtV5GyjV0h
UnVq5jC5GlERT10IdGY1uip6j81cwyhYO1ex0ZXRimmdOBq1z/KedMuovpxIjoIOyOl0WMgJ0gUZ
ji2y/0LWslcraU3mFhiWnBhpiSQwoxhkfWxCSNHoMgCzafrHoSjIanY17ZjrQVbN1lfjKZG8KSFd
ajIhej1G8G6L1ZCZ8feqn6uN5+X+lUgy99Q42rs7OzrbdpwSpgZYsLJg9RJhJ5+6tmqr3opU95+S
gegRo8pjHZbJbQEvcEvfp/51wJC4NRPD/ZbJcEZZpcpg7Q4MDnAyk3M2OvXsV7Z1y74nAl14Ifbe
yo/WZaamYwXpvlvDoK8OnMpVHRQLfxTj8XyL0FJxYoTv67rjEvK1YIeZWXPBtEwPUK76xZZY3SWw
HmDIYKdcCT8C81TDQXEK3wOU4fMjuRUGEGAzfrsuhOLoQuhwY8xDuhvhvG8S5c2Pw8hMBz6hsY0d
HZ+1P/ErYQJyHXu4ll1XEh/1mgeuiu7Ft/qrprTmG9XrityxODg9j/WKvgNir2GhrjzlVrdpQQuY
oYwWQFntTfdZm9fXRTuYDwzw0tdEN2RAkpUZKCavvTclcbgvuUHdj6k0137F7I3+sGsQuBu9rNRd
ZMvmNBEeXbN46mfMC9B3nZLG+gIU0aBLH4qw0vezNN4N5bjnmrLZvWkM5r5oe3eVGIAQxrI2mQWG
0a4xwzhA9nnQiKuFq8m0uvvZj6cP+lDqNczeCSIZiFwxyQKXv0G4mLt+DAgacBeDqTpIYFGtdHPu
wE304yP0YGZjdRmtXTDH15w4NMaQLER+FCvMrj60lGrphagVs4QR9Fhjc1kCs+a4L2yC8xVwP+3D
YJLI/DW21pNr999TbvFn20mqSytdY82oGwCP1N+iuYg2krx0QIx/AEXdQpmtQxm/UHbbnZoiv7RV
1cPxcMu1RSb7aOYRUL3SAQY2evOtbiT+TQtrV666PpxRCIBnFHaVrE2LHHxL80vQi9j+oKZ02KD9
foOaMQD6Epxgw0zFy/FUO8XaUvxSO+qpHsGn2EY9XygS8IPOqtyX3ot5Niy3DkCO5HvunyMn7R7r
ch6RfnYS+zVDFlt5QhIKD8nZz3plvClmBsHYzY9Qk8O1qSbzyhlcsjI6kt09+IExqPXZ2xPMu8y6
sef0ALyvAbK4yXQG/SD9HD/AoHSn6ix60kanWKdUiKwmt4xvaamaAAPJSH3RI1cefEuKQ0TjK9iV
LPSvWDe1ddvpJ4B61mWe+9seAQfFRM+P/QIndvjuPaSTWRxC6ME8Esmu9I0SjjezYgzSlwwMLpSD
pvIA31CaAMfFIzno9tvI6/JNa2FY1L0QZxVF7pXb9vuQS/mqnMn+q5pich6oeNsXFfJHhwXcHHOJ
XhgWpwi/AFtRqN7iRAeDOOjucR5a8c0Qef61IT99dtqGy2Hh3M8e0NHJbs+ZD1tYKUvsm467steL
fiMdMTxyWu4PjlssQIhuH6cCPgdVPbthKQfrZwrmVqMWtYfEpMzdTiL70kZldTtLhzINdq5hlaZ3
RlSbL5oq1clnV4ZEYoTDk5EkcM/nwTkVNcqDmTjbykqhQpi0Abn2lxFQ40r3inyDPh2uRDTkD74X
1UtwXN7UHm0pY1ujPcnww8silkBgcjsP49lKxW1+1Vb5fIptWx1rJ4ueBx/chWiHKqjnXAZYYufv
jswfYiwGaxMu2T3AcmfbGVlHGBv2hZta1wOr6qaOjVfaLHCvV3Z8k9bVKcdAdo0N/MQs2H7MZVYe
ZGrZGwapwzIL8bfJmIWvTT+NAPyS5nXUSiQ+n/EBNpJhL2gq2uZu+6qgLzFth1wFuXJFM0ixyfv4
TeudKWgmS18JL50Pvg+gNYvy49gdReXaJoDBYjjbeRXB3gFtEusif0w1t7znUJUdS+mx1TtGKFaJ
yrz0pqo6A8hSVJ9zKEaFa9XABPTmWll2GZSjo+3i1C62FKxEJxwuLDtm2l9FYQqzZlCpeyudetxj
5TK2o0dB9pSmDuEh9doarLWVANSxU8qYb2olqNt1GuNAHL7c0vE0vvVe6GGTl6Tzw6x1ic3nEVAF
d5J24FTz+K3M4vrVnYa1zjH3rYgwUvBGvlNTI7eEO/xqPVFiswch4eE/yjSaqZrMXQuJF31l2Fl5
XY9mtgaJ7m6I9ct4DQL8PewaM7DLGVwapiEQvT4+wCxLbzj3rrtkaZ423XmrU9C2mVVoHGbWAZqv
OW3GBA6vYHrp3z1GGCss88Oq71QF2atDykng83H0aDZtnt05GEesVUuE6xiGrb6WpZnudX7Vr6Rp
oysCKOFGwAwjlzK12aHhpg/0UGsDqbAorKQIxbOM9QbocA82I5n1O4SYAR/eFKVnQ3XGt7EW+Q30
ERYE3FlrK8zMbVjOeWnce2PYp8QkAHlW35K+GFx7VZQ5yTFg5Oh1h9AhAXHsRs+vHtQ08KlV3fuo
Qfz1S07Kq7RxjdmKUK8E7VtATAPHJzlNgjwivdyFKaGEaBo/kJ/id+XzDjkjOM/8nepVi7AeTeZQ
78MpHJuVMXhjgGCeHPrBk9cQnhzYB271YvHkWdkE/3WEHQZBBMR7NJk7YBjkv6N6LN+bUDeuq2T0
IEShAK4Ul7mz6N2HOWYCgi7qvttUdkLKJ0N9DJeGKWf2m0tTIIKlS/+URvD7TlcxsSCrmhYerOqv
oNKAKIkhtXLqM4PK5ghDBrkggkK3lbu0XIncMY962TJ81tHhE8y1G2+pxHLcqbCYRfN6OoavxzEZ
7KfWyJwREmVdCCo7NYQ5PSe8xid3UYxKqSrqpheMlDdR6vGxgjYf7wGsR8GQRkm4QHd0ACMRrMKu
beHyLWioFkRfvwqjmgKvTzIKJ61+j7GTM3LLlOMwFmn6EHl599Jx9OTO1A7nqZyj+8KZW87efNhh
AZpa8ztuXw7FU2cthMS6wv8wbFyi2PspbeV9GBZ6FyQVf7SffWeftU15gf/VrCJpyC8NGtCzUXvy
uayiL2Eh9JNt1qQ/KILTriyzXsBbMDKA3OpHwpD1PdmStgzCsC7FNcBq+66M5ZuYG4xLVMxSD6fF
+rz2lM62n8wRGUM9D92bLJ/ypxQ406OXUgKHi5eg3ARqB5ITtWtZ06t3nGbWujZBirZFVAe8o3Kb
NikPIRRMPGwufKtVIwkrdjJZwFyxo77OnPo48WtkBJql9U1+FsCVfp5cmggaqy7nRjK+oyaO9I2x
wW7v79XSHxcvTXLO0ilX0Ktyzpd4pVga51yq53Kvmh9RzEKqbA2XH86aWDR0J5ueMpYKRK5BwZFK
xXyjTRTa5X0d7jpzyC/lck7CYEYh3QzOzIBafAiXRjxmvHRJkaC8KtPQwDdqECjlY+QgazjNybE4
XCel7iwrWLTxJ6lEzNcuLeRz1SmvuDGytLU2OT4j61p+NvIhzcewpmK31Zmo2u78rk1Lg5/ha+mV
GzONScpBm56IPdXjw6y0lP1V67jwdre93jIJhYMnTMKaPo3w6shH0njetvrkDVg/4AP/U9hDi9Km
jec5GnehJuQDCKHxy0/yz+2PqcfP5m3jl2EIXhCmb8Q+BKcy1J1fJz21HBV+LEOdI611As0345Vh
YgwZi73meUEYvTKU3Q2peYAuuNXsZuvERBxEeF338wbmNv1z2s6npCuT/+a4/Md7c00dkPViRfh1
LlwYg6TzhRrPum7OouasCOr6r1qafxl1fb4I+XkGMzqF1/8w6nJAxXPpHdQ5MfXV8n+ulm/Jfv6Y
Df5HkvwrSfKHQeyfS5LQbZhe/QkJA+llGZ3+kdzQf2OaynjjR8jJtvgK/y5Kes5v1Hwyq8aqYrnC
WLTHvzVb/U2GtPTfLAjtC1vAE0SczH9LhaTw4M/jQzx9Lv9xgC8wJmeE9+cJnm9WJQKBB/jQi15o
wRtXXZtVG1foz7TT3je0T5V6L5+9wnieOKttezFt2xFWxyQ8SHbS3FuKksKWCDzeUuXs/T7Ld82k
1wEDqxIYld98n8LBDaiA9MiZw7vTorx+xVSiXzST/RzHaE9wEiJk7SXJNiRcuekjcUmHxLtVsD8z
ryuOpWJ81Q1M0ywlJRRq0wwA2DQHvWvWcihuptZ0IMywXqb5uDDL5zsHl3VQYVBn6KP6ByY0EGNo
1dzHCccDWzPu1Gw5O4hrT67NXdxUKt8xKYivO0ZWx9TiPem0rtwaBBs2Dv7yW0xN3FfyL/04rXpr
xEIuXeeqEMMbFSJk661BBY1dj18TqhMZN0Kys3x25Jo6m53TKgjXdiN26FMtR+F83DAHf+/S0dra
vRkG6Eb2KhT9m4kraq11wwF6WbEtEgY1Ke2Vuxm1C5XN53giyksh222XT9u50m7CpYWo1+R4VVsE
a0dRGRe/NvPnbnDqJ2dIt4Wv7majKy4Z9q9TkntAoAiMZtkaGfAaLFCkNqY3LKdRmT0jZiV3mYVH
0Wo1Ljf0PRPXRXYFfa2F9yYBvKOdTbNYaYWDU71z5SmM6+TcVLl6Dn28Nkvr2JexsKDlohgwXasE
XoHBp4SJ7XOPF8W7E4rUeIkRgNOkOThXneXVLyJJBbQaMeRfSrIRRyenzUY3c+PMxqYDaAbzRkxF
rxuUONML6oS7F2QBswfo1UsOR2ZdcmoOaZaZydAdpDYDOJBeKSSUjIVCaFRUfekdYdiJONPW5Ary
KsyBoRGtq5TWmEn4JTXz6h7tt9iMRVLdY0s3zpa7TPKXTBBuj/S1rkMGYNQdUFSTQPbaFqk2bjod
INFE3uncd9wxyabb46ZNWn5/VMleWZ1a7CHofkEjGa5JOh6/0Mqjf216xriaRW3jOmo7PtWm4s/E
zAH5ALX1AOobzDkW04cBhQpLLv8k8u3UB3qJf4IBWv7F6UMu2U478MMTGZkuIl+MkeA9ucm4uB/a
ygH8ZiElbOi05R80ujGWm8+ynmmgZm7sCsbGPH+7xGWbWY1jz+454kFcibij/90okzMXsfY9oYFk
Z6C1fzgjA86wr3B7L+8sDdPaAyZh8M/jpBZ30Yz2AebeodEgjL07e+Q7aC/FPHkR24fSgcbYpjay
n8vpZJ0sP3hnFdNl6p3ukS2cP5jTyLl3BhaRgMn/BMK3XUBKdvr6+U1LHaiWqzlaunMZHzvHz5Ii
TLLVjUIajpl+pGRkZpl/sX1lPkFATqpNV9jirnEie19lIZmvkcNi03Tm2ox6clZYClj1ervkqjDz
WzNDVW9zVXTv1PgmZ6p03Rs6DCeagA3zsqgtFyW1YhPzjaSN2HfCV9/k+KgcqoZWn/Vz2uDximJa
5p9c6u6rWQ47Gi6re4mPiBLmjvKA5bdVKCqKEm6AHqTzsOzWRjd46yrlk5sIlJ0MTPPhCjYXEiIy
RrKCqhXhREC0nuErrRLPe/EaMuCmRH1r0/ncljG2uInQfvswSA6Pg1O9Us8MBcSd1r53bXb9ja6i
23jQs1XexVdF2nzHOXz0QbuulvLx0hSXsbW2KDK7zp2/RE1L3IbR9cl1l9NoSNa1JapaT9Xao7vi
AgKCKYlpVf3OQMy+2JzgWyM1zi4ZiyAzvAgaQm2tDcEkNymmczL6gRrToEW6tkoR3hqcHG+MkdmB
V0XMiJTnQpqusIB4/mDTkwuFT9S4EBlj1evOo+s30BrjvYwoq5DmhywxX0qano7p3MOiNgtjb5nO
NxT0q9Jz7mxI0mv4YtYNLOfwRYvMZ1p5v009p19Y8AWM35zKhEWu1AoLum47c5w3iQKsa0wQ91Cx
qA+J0/kd6QrUMF5EZ47bbd2N92Xa1wdfZDsLavDa4fq5qxIXRUT24SpVU3bKXOPRXdwaAkxKNk7F
Xsfxc4VTIgt0eus2Y4mWDa76UEczHYVV9SJ1RICxrHCjZLo4NHzxd+nk6sSewhfdKCSmZ8nYe/rO
neNSJ574SExBrwVeu1fhalWALeehAzz7NgE33/CsM8WxgM7qPXGKsPW7pZUIAXaYwaqP1pBfRXTL
0mzByXM9V4Hph/eyaN/jqQtR0b3pjO1J1RuLMmzavjpTn1AdmwUyaZanynBpDVbZHV+rZqO7oXHL
UNLeQHIvQez2XDVgkNUBVbSQjg2z/gD8m20oT9iTE+XmVNdv2HVNgBetDzpxeNbDGeWnYrf38S3v
NLf/hjvqRcYMriYZPiqjnpBIM1julsoQaBztmm6Tx5DLzdrlMVylSRk9eyn7MHmXoDN076QIb284
JDCuXLJ/glaPx2ySyxkCRzudFO50UB2dbhB5Q29ck856TAV0Nbu1YR5CrvzoGjot/IZ7PoRtuDoD
EB32dLWl9+WgosLaTHOnn0lOVnfMrseATgVOVhbzHFU33rkeavVa6lP+qkzDOrtQP0igFlxaqbsN
cp4iVvIuodQmLh1SWlnh+cCT0+g0jF1mHFpwGFQKtLN7Nn3Zb71IFlB7vegLuUoNgGzjrTPLBKM7
V/BRwibSNkOW9ifhwDzvKeBBA0G3QyycFdvg2FfnyjPEgWFtuAmlU2zCVoZfcJN0FyKXSbqZW1mW
q84vtTONLM6ek0K2M/RKbpIxD9e5cipawZvxe1mQqTKKqHtUTaKu6ljIJ1dS80PDeBmQTqRJUqgW
/F2drHUBhqjgFFYMg3bQKxYwuKHyqgqddl1T0LOGNBxuqfPweFu5JFWafxUtbNm2CRVSsKZfNyFt
9gR0mp00mTD0KmOMWzfXY5ViC9Z2kYkuknvzS9o0VR2k5QC6RNHdMBuULCTIwdvC1unHajJ7R+f8
NUV4064hpEgmLLS2Tt4Ot3PGGS/jGs3ONXg3E+Pze7rWmVVZmfZidf6ZJr32Qy1lYNKduq1fu9G2
z4Fzahbo+KZJkoA6LR5xxkAr6jIv7KDVTSlGZsv0mCATKueLVY+7kSbjoLVIdbqWOI/J0gvteelu
Ko0d3t12nUO8x2gefchxAhjNloeARe9BAu111MfxkJA9XfdpG+6VDE9JJC/IE04gQi8lK+uiRqYe
pR9BqsWZsaGH5OIzSYBmKnqGEcMmrePcqHdZodLoznJTGfAIt9Cn+IGXPkb4ORFbQiQpasx+tDbi
AaPCkTkDdY7OZ7Vj+lnzOC2NjzTaANp1fjRBsm9TC1l8VkS2n3WRceapwV65n0WS7IZPI3MzDejT
FoEXbI3dq3vgKzNGObooqWyttung2NcdRZVytpLNXLsX5BJtnc5dd4l9ei1z30lvpKDrsl1aL1OT
/kujNbprtXRiJpRjNqiMG+XQl+kxCA9QG+yDPXL7Acba3vokw05KuPIScVTZMMCwgokiTkahIZyn
Pn1TS0tn8lnYWYZ4hDQ6PKNUB84oob4MQwIzeun6pIE9Z1JqJzvd8x/8JTjnUA1KJBGOeJ6+CxN1
35ZFc8ZFuc4r+1uMISrAdOkfps+60fSzejSamu6rbqvuXWROyjyGjlKT+oYra+kthS92rw+9r2Ms
GGZqTYcu28+fZafzbE8nO2m0u3rpQqXIJb9u4+IbF1BGCpUpKU1V3ewcMWtWAcPgb3LpVu00WbyL
wV3WrLDrtj0Zi21j0MfK8cXdAKAbL13oQ/inttVa+lsBg1HlSnuCdUC4kIFYml6Jmqsvbk/7q6yt
8jTng1ev5dTlN1kphbOel87YUrZQlRgpjNvCwOXMPrgUzHI1hO6vct97B0XOwjEQv7sAs/Keukbg
NF66amfwGfVq+KywdT/rbBkrlw8AiquNY8zeMay6atuyMG48Y94nS6qyVlyyqgS8aRL16oXAvBG4
UlgZDZUxTLMULXFl8uI3MuJQklYEiFdl4ncPpMsakqPMUEtk7hWn527GXJCoGVCT1eJQaWQ7fI/b
orgSVpdcNRLzHiOej2wknN5OzF0Gqz2hY1LHEjXexSWFegs9t77QawJZjZI/SMVMlJyo8jZNaCVB
6nvhgTf2yMUvDAT+h62WLnQkykibHz7q/6g+f6H6+CR4fhIiF9Dw7wDhhWT8v/8dgGRvkm/df1Xf
/2td5X3x9c8K0I+//7sAJKigxLBFYGBprl7Yhn8TgIT4DdM4mW/W+T9wwX8IQB7FlQzpoWCiC2H6
xsPOKKOL//e/Le83kn7Ac5bsASk0/l//hi9tqRr8k5+cuyM2csRTWMTY/5ef/GdL92SUGS1zo36V
jRzMou/kKG4o2dtz5whKGm2KRD9Q2Lrxw/7ZwBeSWn8FfFzAof/wFnCVgxDhZ0bEX1Ten1zlXE7d
2uOpvqqQkc69d9/b6YepX8Viqoggyz7wa+7UuM+v6xpenTDtkpPkiz2Y6zkOylqjkXtpH6k8UPvM
FMAMAL8lDshYmcljoFE7stLrb5Sk8YeotqXRBFh42iJl8z8n26Z1enps52qXMNpvtc3k+PTFdfRD
RRh7SDiRB54RD/qV1rSWFehZv56s8svkAdLl+3A1Ej8vmOSQWzyyjjBRTec7u2uXVk+Pe5l27TjM
5a3Oajdtxj24vyPBxCaNl8lkIHPn+i+GpW3aSLzNLe+gSGFiudYadZnCXR/7V7zpqzwYmO81fXYZ
tfAhlarh7lVQ+FO/9r6p75K8v41acUwNVkMa07sU4Dus3Z07LxD+jp5kKgi+FaOt77LUm1aTrr6V
dhREpGJPZctJN9drLjktLzYjcFg3UZFG/3G4fnxiyv9iYeEpN/ny/3M5+WlChCqjn0m7v/+d31cT
Q4cwTvROuPoyWjAEj/PfPK7YXx1YWzxGnm2Jn0yuQMUNbKzeklNBcl406N8XE1tnnYHmChzXgknO
8vTvLCa/ZJV+n0ZYS/SGmQT1oX9+kMNeYWkKpTr3BU3pOU7zrz99Gv/PwOeXleIfXuCXZE8zWnlR
j7yAl7o03UI19d+YqST+Oi7e//VLOb8sjPhKPc/BnmlZZInsf0h5TRwRcwej/3XqEK1Ia/yNxHKo
64V2Bu70tU3HyPsWV9AodDyuJpWSbBYOcd2DbukyKt4rScNVRELAjjGj7bh66bvJK/uPxKPLoDj1
Dddf+6i79bzPgcSGzQMNL9PRtUmuPkyy29Lg6Rzajt7CVFYpnWApPRN0G5WQtz0LFQBAmKsBU1SD
xSHeoRk7zu7lD7Osa5eDqALeRAEbwp0o1il780BYJnmcxrw/GhoNReehLcSm+GENFh2Qc2d057PH
AFu9QtQEbqJBc1p5gES4o9HrdGPjc5uPaecjZSmURlZja4hCCt/WXcZEKoSCuDQZf/5C/nMa+YtF
w2TL+JfHkZs4+ZMr/ve/8PcB1JKGW0KYwgETtpC2/xhA2b9xkQfkLLxfzx90amPSIM9qGcLlv5ak
19/PH4y2dTIglkm9wDK2+nfOH8ua8Kc8GwXdC3oL7z+rD1Vyv6wZSuPiVzrOfhj1OgzMdM4u8UKf
IBs8oFk77ZPPbWJbExHbGkTMYCl05AlbfXx0SkYHtpu2T7pVtk/RCA3vX68Cy9Hjl3dn6vz4P9hg
7ufp6aejid97DUEg396ng1294dwfb6UelyeKRlHYZZJPO7/WaRCpq8xe/evXJt75y6uzlDvErUEq
sjS7n7PDnw9G8O+pIOsTuQ+j8LmQIT1Dqk98rDFN5QZu7YiTqXslAvvkiuNo+zQGp03yOs7l/C56
GsQwsU3WIcqpdGASkFPNyNlh08jKvROxV3NdwU20D1G3T0aNPdnWa5rvaG0DAlVANmWMX9zEJtO9
tTAGA6uhlNNKGUIEfT+jUnl9rEmONS6e39Q1X0C4go9tcbDPrVcdRWvPG+ZD/QV6Sbml/ryEisXI
h2GOpCJoTawtXVvAiJ40wK+0K4qHfsQZsrZnyYRIuHVJOdgYbbRY43LcVNZwNWlFiGt7xtEzd8gl
s6AjnR5VylbrGBdvYY7Tc5ku+RwNePgJoFsYuM3UPXnUEC3u9VzpK7i147DiF+Auws20pSXP3Y2Y
9LGF4f1ZsQHLi49Seae3+ESDFI2D1iqdwWYp9Ia+2NHfqN5qku1gjRylEh6lCxHIaARwKt0cbG/c
PRh9FVNjIlSPn9PPCVWYZXcZE/ysa8NSWJUQh3XuulmIbTPsMgvMkVsbGjbaeWkHa7BpYEMyFbVo
PvM7HCL8WqlbwshqmhpFeC69Wo7zLNLJ28QAg26zshm3bSTNBioU11V7qbdeRfpobAGSNcB1lHM7
5aa2wwkTvcvYRLPUk63fDUPAk+rjrhLFZTanwcIj3KcHsgxp4DmdeItFV19R3Dtv/LzuoFM0nBM7
s4so2UnNCUztYI8dKnzZ7jx2rmOoeePBJ33wxUpN6mdVrOol1hV/2EofbowKoDSWE1F8gIVZ2shm
rFrgxDHZ4/chpwCI07FWrqB9NODZu48jLbXOlDL1To1XvXDVPeA0kh+45MpqINARymidjiGsc6/u
svcyjUMmHl2T7ky9Uu9ZNhRLpWqMvX4Jcwz6dSv9JnljE8yJ15WDbd60qIqHuZ8XyIGVDs/umERg
AR2zeqOluetpQO1HEimG1LpvJfa6nEY1Lgxrt6vsZNPRraVtOBxM1wN3rAn6puiMTT9oc3I/McvC
E86kgoB1WBJQrcqmiAhcxlH9yqgKiigca6dcmHZlA8E8069mGcVsBV15amKQXAEzxOqtrRgfGs2U
81Uf9Wo/AbW5GIJFMxpjfn702vKGGYg4mz2xZBh3Pq/WLD/bFGOAbsLZUDh427Bd0WjYPnWJm9qr
BiCjthkjehNkRSk6AcH6hdl69aIG8//YO7PmuJEzi/4iKJBAYnucKtRGsriJFEm9IChKwr4lgMTy
6+eA6rbV8rjtnueOcLjtsIvFKgLIb7n33KAjwliTkZyM3Mi7zhwmYzOY0/DFzNRgkmGpHPM6iEZM
uI3V1K8KsYATNkax7N8f5QGfnGDuVV7VZytdMGfvvU43l09FB8+u3uajTW76YYrwOC4hJ4GYX51h
gIl44ROSxz/ymF6S6wibkkTKJZZRP7P9KdJuY0D7fh3mnqKFtLfuslbMxlskqBozsa6N/Tj0RKQj
wiUm2reKm7li37rGhFEhsaea7oY0tm4k4C+1SRGl3iinIKi7it3aCQkV17jdPfDWpu6T8gp4msdk
it+Aa7ds5KlCOYrqtlXrVs52oiGEW+l9NnRFDB5fTh5si5gQSLQRbIE2QzL7apO03vhSCxT6icue
NvTZDm4idi+n2JqsXY7Q8Qszy0dGhe5JB0HmHETPen9wC7sIDaJXUe4nfgs/nNJSk8gXkHjtZBF6
UULYEltHZHei9LpKgIc8WPkwrbvdwXlzdOWuOgaR7Osx32VWTSFbCAdLVUHMTZTohDQpMBwo6BDe
T63fODt/UuLSNor+FJDR4m24gIwHpMc8BRY7mENmfkWNjq30rK3rdJ2/GWrM35u596r5UI32zNNP
u5ki5GAhXiZ25H6KeOB3pd09/V04/lfdJvBfqq1/320+fKuqb1337dsf+s0fr/q9eoQT63ieoC57
7yh/qxyBzjIxgvfKQMuzff79n9Il94PrC4JWEDYBrRCrJu/3ylF+oDtFC0eT6vhrl/pXKkfp/Ut5
xAyMYCrkVeBtGYf9MjfyZmUbIMOqk6Fzbu8DieBxpneRMWK56ks6POI2manDQATkXoLTDLEQwWgH
/3ZsS2BykRMxPbE48q67VroPU27mOzc1WU7FLoESo7JhpLvTMzHrJGXNtmO/BnElTlZjkkcROOMW
Zini4Mj7OlRNf2KeGx84u9hws5TeogggXJgi5TBrFiTsFGWNRGDq0CHyRCkqPy822Vw/y6bFwY3n
+DRMMWrz1N0PHUWW2aPO0Vka3+CC9I/VnBYPFjczHLxOYmCmRK+fEzG0B5QsywXwfvIOYmaGXyLf
a7ARluiQNqWK4zPDNTSzeLivpmwx74cR3XtVeHdINoIz5N029Euo8AVJqyg7c7I1vEGHedpGTONN
dQD+Wh3HVEKxt+e7uqnxgFDL7F2D1AF80IIFVnARVzlq/Sm/JUgBExkiVpQZo7+jAq03A33zR8Lj
md610tyai5RXQTZ1J0z1xjEyFgGVLTEuig6HJVE6LBQMEkaIIa3PrQsfbgeMFsXtiLZLpI3cWfQ2
V3FUOgfZCMiFLR5Zc+mWu0Zb3RlIbrTJB+vBncrpbc4HFxkSlSmJ6t3dAjUB8bxb7FHITKHRTPO9
RIX0ZSCXrKnmz2ZJC0tRnB0HHZMkwQL8k/ZTFk5Z5H71Uzefz8NsZefYKVFO+M0EjRIhzQ4rig5T
zAHHzlVq37oWSSamsHY4kC0siczg1KyCL76qxu8xLM79YlaTv23J9N5x38g7OY+4KDGoPSZozB59
1lavBlWizYbdMc8Gaa+XvoGAoMZhlmzSIGl2DV7HDUwAHHdL7l9Eplvd2ELX52IUj4AMmp7to2yP
/lDnd9BaiDGrCEawShVcSqCzE4o1SbRvKozSOw4GGPW9Inhcb4JBohhbhjVWkh4sqyyclcuk7H0i
G39rCQoToCdWeZwHP9tWSGCYacoBE2ZhEWODqE5bYdbCQOgEh/JkLeUth/QxcFr8+EPVnpVrvdYF
JoerFql7cgkd48mFz3hf1g7qYV8Ypy4dZGQdit7OcvYmwVgFb2yz2nQXR/Nys+ipu8WL7JdvWeLF
glUnDkzb7R6TKpK3xKwlaBMK2gsZddkuUIPYxUUVXOBQtqg0o47oExCNiCcmo8TTn846PjbYrtWj
VYwyR+hv5hW5niDha++CuBm/M8LSybAh8aDkey91s+wjN6tcdrJxZL4sSTv27J+N+LqdvdJ7Qsps
tWrHBFaQ1Lv40dd4dtiLdSSsCRO6rJAGwPoBDRDutByxS4lzNVCSbeCkC5ioZh9kXzwjmo2jX2kK
PgftHeZAfxjy8AdGOIJGKc8oD4JP5QxcO6eH50oxqZROIulNvanacbqlJZFfZ2n3+cGKJrDCuBM9
3NIGcohNLyJAqpWT85ZLEaNLLyckaHa8kAaE+5Lv1hyb9PADD0FA+qqTClZiAokSmc22LqjqG8+f
rZqozwGRRn8JMd8xwxqBxCb2Ji8GzF+5N6RITHtHAjQBaqkJVHX4jrcuxqqHYvStSwVmWpHXqlqU
8+gZgWTb7rkKJMqZNOC+n5wodPJiTfwebA9yjJUciCnxDzX+utvKKq7Qh5EdpYRTX03JGtfTNB6l
Ti8Teiff46bSaYPVpEJL2NPDrvl+B8eAu8q9mvH8it10p+LaNvYYh82PgF+ynWt1i9jao2Mgua6q
a0opouG1514ji9QvFF4Wsch2cDnbPoCJlhDsfJLxoVf9Ahh5GQpzU+InfgOB+oUzipWvLd396EWI
5ihx/Y1ltubHeBHRfkJj9ujIuLuT0og4HKqC4Ayvu6l739gXxH1eaKTmb4vl0tZFIuw8Nz7x6IyO
zPXM59wTaUj+if+iIWvUmz6ymmPmtNOlh03mLB0LOVg75WEzztln4E3iwmlrSth42vdGhfCoN0ld
7e1E0HBpDGzZHC23Lo7gXYIDviuq5hH4cX+CA4DmC+PFgcxFpwXbNq5Z2obejkWd3ID9ZL6oJotY
dZtHPEg1+gJlE5jL+3+cAulsLIFLPcZRe9vM8bjVS5LvJOGtB5cPsG+6XBcbMcqER+Min227VZyF
TtC8knHQn+Hzim+kMdTQZxZ7B3RBHN2utTFu8n5WQD5yg99qn6VNs1NVX1zn5th+whzVngfVq1uH
GdoVQuyKzRJxEgik00NrJ/o6J8FmS1CCu3oRPyPiTK9mmSRPUT2YhGeLgB/SuVQCJRb0wUdqA0cV
bzFs8n6bcuffOpk3HQLLVa++hz+d2KMQPXF/B4GcvZQsfRcXahfc5W6yXIosr7+M9PCbZirNXU76
0Skx46dIMe4RFRIfIhtQ4pKEuUtxcvvMM4znqYrMnVRxc3bS1KRA79JiPf0JXyLkKZQioVmaaCMI
m+j9cOjiDvoSMMbAoHvp9OQG29YxQYKTHYd4MbbI5Sp91hEbM3cFYlPue3+xfW5qpfuQ7DPn1VqF
naQ8Q6X2zIwngaLFKbmr3DnxPoJ68GOOPGbIcfLQuXOT3v1d3/839T3q/XVi+O/r+1vq+w7T4Wv1
x/30by/8fUEtiYJY63jXpy7/Ucv/PiA2P3C5k0Rh/ZgBr+PP3xbU0vrAWHgNquVxEDCn/CnDNviA
wNNaHQ0CKt860v0LA2KCo36dgnok6trsqCwAMSTG/DIhLugIl7Ix56MDmWsOB4EEjFXHaF9zcEH0
BDGBB6wsU0JLR56+wcbqlDpJv2autrTEvmwTBNFc2V1fwNpGOmxsYP/CbA7eGt1HN6OLnBfiiRnK
dJjEZikJh2Pf03U7BDcyXNzCWsVbOPl23jJTSllAqaydypLlACav/qS6WV3MWZtcMzc3QXctOM4t
gBhsrSlbVYCLbYe3qv0Y52qqjiAGgHQKSBSvS2bjq88FdrtNjVEE81sT5GE5TFE4JNUx9Zb0myFE
/DYuRnqeeM2zM9cZW3EjkFcJVHzsrR5jmI1nBx0PHye2drXBiA8bdHHJZii7Yevdn/XYGQcRZaQW
mJEsNnWvEcKMEbx5j8YJMzrO1mnCE2wodwWKlMG0CZrI3EA1sx99Yh22RIbRsuApNy8ql5CxynPh
Z6Oi5eHKNy9TKS7GJShve4qvPXJhzJZLAcKBSfpNEtE1bhAaVxcoG5pt5i8McjE27OGEILtTfnmu
PBGbu9lzx2SjyBakoHTMJwbO/dVQy2dw/v1HQZiWf2A0D/vaMrKY3RzZgIdKDfYn8LzWPhtsH+AU
/HgOkCg6E7pHDW6b+baE1cYqXnf3nlv7nONgFS+g4pvfO3zRO1mKe0/frjG9IQK39iBj81YOZGht
u9qyr4XRDS8CZ+ajKu3pRncYnIPS3Rlglrf0AbQ8SV8esE4gCi3IdQuarLpzzF6eCeR6SkfphqS8
5eHsDvO+Qnz8cR6cdoe0qjyOJtbdWvSQEbLsPhpa8wbZtocQX44nhk9s7Jm3lZIzNRnMOoyoxrAi
6Do6ZkHk7Ae3zL8H4/gm2MXtaykj2Fd9Ie65yJms0MKeKFpQOBeBvYPqM4YIQ2XoVs5dzdWGHju4
JGQv2ZR+64Zg1J7hYcG4mpDJJeyCNs7s81t2ibONBxIYBWJ/EjIT4xkab3xqiqS9d2C0nGcJx9vz
O0LPCe/YKTHpbSFVcm3rluuGyxa7CgvJAxkwQDuQM4EVl1GO7mBgtsTs6X4ee0S3cSprTn5ZzrF4
hLA5pXsG+uM6IheLdIcwG5M4QYDvToXbbGcj8IePlsXq8qPTrWk5IMDyRHwSkmsBJ2aWXrrK9O56
P4mSp0kubEbpsAp7j32cQWThEjHvC2wcnH8Wi6emNjdFJpTeor5KgF8KXKPP5PtV2WlcQ6Q2Rb1k
fJqMZrZalaJKf9QpkMSPhCesA+r4fVqd26bOXvK8V0sVog+rCLxOnM7azo2L0kt3rCzYqKRx/FKK
NAYzn4iUv49RQ9i2x3o2dxPRJjRaII74+P44r9kbWeX7u7akiI+PM1ydl6Guxv7Ny4nqcF/4joIB
hBqMmAvmxjaO5CrKe5t/uFF+oqumyiU1cOijh4rueN6aLQMFkHEQTbixxPRjm/b3Cvc/rHCZUf3p
IO5/2F3W1R9dhO8v+YfqI4BsZjooETzgYQi1/rHDFUTOrytClB+QpECx//OIfk9f41X+yt1e/xd+
h98ncWv6GpZjfhx306q4+isntPWLqRAeusPvtRYPSFI4rH+RZZSt13VTTngFQxmc6i6XZ1/CeAIR
XJuXdfMeP5a172FkuVUWpfnUMygUu/w9s8z6EWAmkKhYmJIyMhQI3PwRdZa6aKldSFFZlQr2CeMk
q720R6C+VRXMx4xhnwG4x7GsUp8UASkdzgYmblXfnKtizmhp0Y6ysvCbijD7bLqo4cObpwxFBA+q
CBWV3QJ/NNxnoyOmfQSIRRwrjhR6leYqKzFcldlEb+g4ufWQMAKptlB66LqDclzhiEqzB7RbDHuF
WjDEuAXAzCXXziuqECxBRErrc2omoAqtpOd0VXpYTV0kThUHnPdIgrUqfIgKdXpyy7j1rgM2cdm2
m02aDwP/x8Zt5p7eMcfoZBRGgdxF5scmUuM+WxTPEs+o+MGEODG8KnXEXMeJqpd+nAXPxqTSh7rP
+jDpOiTbcQM2e9vF80IVVKqQTlA/E9Yyf+JAwYVHuwDFY6r9iXRX5fBBZWQO1nNUZLBfHFEcOpoY
HoU50IC4aQVLE3U11rXAAiq9EbvHiqNO89E5uVHnfSJHc7qy+jHoDmkmkbUkHcLjdeUgQ8MeZvOu
JWTXotXk5OxxELBnwWipsx4ZXZdlRHLpUntEeUhVhzhhsH26umQ1BXdpivXg4+Ybx93YZ6uE0dIx
uImeeohGqAGa1xXjdy9KzdfFEfE+d1YlARAXfCmVnOFaYt7e4+BwDgwCm4+igkeXu33xXJuojCJT
i3HLDKc/ctTFZmgp74ZYTxVSBEU7Evs8gioQyXPRwN3Uuzgu2j3Do2mXeCq4mZyWNVOkhu3QyhiI
UjR5m9ou849sbjgfnGQovpqZUZ+gaFinvvTKkJF89Jm7QTGryUTwJSq1YJnV9TqH4tNaD1GRDqcR
08neKrTHvLaKuo++1G8YB4xQz/4SwtiaacKKOT3VmK3K7RxPOtjGDO+vSreQF3niYBZDs3rAqo9Y
0qE2oK7WSIs6C5Ybbqz2wZGFum59c/lS9CX1aBvPnwaoFsdoYW8JVJWQ1E3DKn4HQbO7gWRaXbcO
mmnWxhmCJUtDs6CupNZNovrRjdt+MxoBSbJBGj+RGQdF2u+j4j6XZNqQjsIUn/qpZzW2ZeAswdPI
3LxjWo7eEmxZsCeDgVW4TwZZdNk0fka52zc35LUGe0784htBtfOpDbp6i8WRvdY0B+ta/S0zUxna
WJq3oE7kMSuCAJOQ9TqN85NTKAeGWhxMYaAtT5Gza5N3XGB/bZNmcG8pnKN43cA7lG1/y6x/U0v/
h1PRBiLNafXv+9dP3xTleP+H7dSP1/zeuooPbIVW8jvj81Wk9E9tk2d/AATqmbQfwl23UP88F+Uq
h+Q8YGzxj73W73JI6wMgf04ywvlYYpEi8VcOxrUx/Uk8ZGHZ59nh8RuyPCMW8ZfGlTpyWNAkO0cf
iDrR7wkcnRhxw0/fye2/QjB+lSj5CKf5jKTy2hzy9q9pIdGAjMBm3nzkiGTjrzmtN/B+cHnS3t2W
kIZPZPqBvK4J4Hv58/de/14/f0Q07QIOOLpMki/owdxfPiJZNsVk535wjDHd5ntPdWOoJ8H7Mi2/
z2iNX2MIMMGmq1KeKMucfpsMop12BAfbnJdrJBsxBQdsrhCLCD68GHIGhZ2fEcQIMcPZ9rNqUEXH
y5mFWHTPo2sM/x8fAoB7QCVkIl11f9kjmtj37bJfgmO7sGqfJIKW0gCdlnrj/NhSuW8jkROsaJTA
p4Q5NS8jwjDWXEzvQUQF061bEURRdz5TOL2kB4RNy16z2ztNgSa3So/ioUyHfg+Np2ctUf7VbI73
v4MPZgQ13uoW+DX/oJP2MMzeGJBvC9SacJBiQ1ExH7w6+/7n39Zay/10Uf94J9+0yVUBvPIvS1cH
P1nZIIk7auoXmg64Kb3rtxeqt9s704Fz+efv98tN9P5+WM4ZDHCJW/ge+H1+UuBZoquq0gCxSTOo
7niiUN0NKHH+/F0ohX/9VKyRJaQNn3W2LX9xQQSKxwWLFP+oSHE54Pb5DlMhPead//Dnb2T9H7er
Y6G39rjxcAn/+lDIYmILIIr5hI6J4rR4eBCSgGtmnvnDQZJC+iMSpi+w2PL7WTv+VVMwKZaZiO7Z
lS2XpeO0d2p2aVddDcGoESk7HS3s5QhmI7qoCxQWKdfmI8x7hEf2YuIgirOR/DoZ8yZTs0aD+1Z6
pI7rnkZ3SY9//iF/wIz/cJUwGCQIhykOwkUwyquQ+6e/2qrbIblQTccxw0NcrinfbN27k9GS/F3n
ZIBD3/o+FYpU8DUfnIs3O5KiPuz1e3p4o9R18x4pTt8atsQ9PQl4SNdOMMvPHkz/J4cwciVG66MI
ypaZ81iIrXIj1uNmHuxJ/wRzumaaAyhjz73mnOfxXmQ6/szjDKZXTxZ6PFjOkeS5+pLTBec7OfT4
md30aNBaQAQlUT0Be3Ho7Np/UGveOqz+MqxEmwBxjKO3hIMHYUEenwi9J2W+IB0eBzUJ7oxQioOO
XGfHKlpuXdkMW3dwCX3vQTgdc1Xnn3rMgcWaDV+tKfHsMOavM7hdHCNkyMc06gcnkhkRrG6C0SVv
mMl4i6QYss0HOPTlkxcn+fcGl9wEbz1A4xAotp2bsWZTDGZ+evZQY4bemnDvBEFxytbUezCw7g10
Kj/s/XQNxi7T8Wboq/ZLlRHYarbdzpgCZqZR/s3IDf9MfKYRyjhFg+mpi7JkWlm4omVBH5wmbVTX
ddQQ7TAxedjEiDg3hlchiM/gNUaw1Iqs2aIFYeRao6oUpf3iJAw55ZSYpzgvyysZNfOjUeQoqgS6
wmsxGCwRZp1YdBIFo5BytA/omfwTGx/7VUVud5vxPVUnanymul5nP+RyXyUNV4TGpz+0tv1at6re
54llhBhpcQrUVqUegbAM2zqfRv40qLPwg8bHcR72SWLfWVE57Hi26VNf1PNmNiaYcCqxvrLBKEPl
iuZuVqQfRg7gwBGLn46LIRyiHPFWiR5QmeYF3lZgbjF+oiyYYlAA8RkS2+dkmnEz9b15H4ll3gHT
e5r7/NUCKRmOqstIA4Sb0juRv7eVElcYgUcAGXmwqfVCQ2diLBpWmCtqEAiXgQG/ErwKKZNVho6u
ni4NPw4OeTdVzMB8gAZNMvPLEIaUWLncJrlND6nMltaYwwjgM/mC+zT23YoJ2upGjl3roLAdXTq4
xK96dP9bNTkzGbWdiRyu89CmzmyvN6aVNTcQVvgLiU60l/Ms5Clh3HkUdmoevZrbxYVuBkwiaImL
HHbWCJUL7Qa04D6JgC9n1ZvSMn4GaDZ8XRNLnm2txgswyPqUa/BrOm7klSI19dCyWt46tGCnAcow
1LQcqlxBmKy9MTOvEyeMmN4CUbh1SyI84xLI6DI9Sm1We4YJycnM42YHAFNuyXcFoWkP6UG4bXWV
TmuMjsn8z8G/eUVcKzQCVBAwXBvGs249zDAGmBtgR833Uabn77pXY31NunsRRqvme9Go91RtsTe1
Sj9MY04Ogc2WzS0MBzI/LCKPiYbx3B53sZrzkKn5fAkNoHtaglHekFFlXs+picEtj3p3tajV+hsK
7jEMCnMBGpypt8Sb4j3aRO/Tu/azYg70YJjUF8QkJjd5PlKdaEo+8MDQv+IAHSpzUog4AwsVPOBu
fg/Ms33OMjsPc5PIkpSwzlvDaeZDkQv7xJQ73zeQKD/VfVeciCzpvi4A+Y5FRoRvhiUPHzHll1vU
CGID4MLzbDfXdrJEF15HqBswA+JQXBuSK5GAbHWV5pPnaXIDsXQMncG2dm2/WDvJDvtm8Rq0pljo
eY0VFAhVXdchz4Hw2THHtHzQuucjIXeJN73tIQ7EUwLzPEicG8GDYQufIz00vbUcac+LbeANZDki
rQFZ7Aa46Qt1oV2uV2En83dqYP0p1YrnOu7mi4xtGQ44R1oHYZbtIaoM57Jnans/8wYwRICtbpbI
Y5bjzInzeSRzCTOym/T3ptfwn9ga3SvTakPlJeLZ9J3LjpzZg4fr/tBl1rJyxk370pnMQ9/yUBCs
JK613cp9k7TTqcwZr0LeR2oJE2dN6n4QkUFyTt+nWMFHZ4fA4BaKQQDlNYn1QTV6Tg58/V7+pqTf
JldoxFrN1Yz3p58q1O99qUwIkda6bEAJBeZqmjtiwX1LJtfTaE3lcno/3v8e4/6HhtVazbo/VUL/
Ygw+062+/nGO+9tr/jHIxb5n2S5BgWss6Lut5rddK5tNZrz4dNAyCsLd1lbr910r099/F1IhP9gu
2xQPszn4Q5rdv9Swrg3zz3XwymCjo+NfNg9zLMu/9HPNUudWFM1INZoG+0fxjsYnz8vZUm/lM893
Eir2hFEnDHfoNc7xO5ef1f7X7h3W78Uliz1ixLnak6UlnaBGjfK2KAvEEdwhnLZrOEBNQ1o8pWui
QN0t5tfMjqeAhVIOAoMezZvD8j2TIDXc+tHrew9efRtofTHZqRpBl7GrSwgPqqCtF/Mmn9383DCG
34oh4pE+G1fmgNJgQ1Q70qqsWiDJzOozyhCGsFZSnCR2o3k7rxENJLwNzmYm8HyPuZ6qIxorzni5
hj4Umsp1KAbvaKhBnXRdYgRUaTXd6dY4QD+mwCFMYlxTJRLk0ISUx8zANvO8ZE+T01H6DAgvADxf
JYEgNCdbhGLMNqJM6UP8vKgfWduuTj6xmvqsmuAZkPERZLENf3m+ZXMZxG26GgFltqBxYzjuXuLA
cd74RubL/IdxcFlNhAxxV0Ohp+IJIbcSG5LN3ak5KJ8B5Q4d+XiuM1mksjh6KOcFp6S7+AwXIdMl
SW8foS4kdctwOG/04F2i+SNfeGGCKoQ17cYkH7IEQWCMhEefRJmLQF+SbMssnUgcgQn+PWPK8xqO
REe+aNsS9103T7dFGxjT16Dymux7kIkOQqBprRt8dHQlodllJPZun65hYMRQec+A7QEetWWgr8Y4
zy/cdzQyk7ko2c7FkJ1SGVT2DoLsnRA1k9wVthwl+XizCiI2ZpoyNS6mvA5hRcXYHoS48JHUMJ01
l/2SpvlhnTOwr4Bc4Q4yDSPyUsJ0LaCpyfv4wvcRyG3ZNGQsxDI/OppEzvbQ+2bnhBhO7ZeVQl1b
TfFm9a2w98E7tFqt/Or+HWUd95lCXMbC8qIDALeRdlxcZGWaiaOshs+gtHUPlEc6twbfIAxklpSf
YyXNyziDsl2uvG3EVlXo8XbnwoXGLRYx3VUrpTt5B3bLld1dtj6z/5y+59LCMAMM3+p06OduddKj
6Vyn62AZDVchr8g7Wy6qaDHBSphzmMMQ53eEsrWixYcivnaTDiHhIN0rqJXdc7LiyZMVVF6Xiz40
K7w8XzHmg/CaR6hY107lOXfrlX0Tic4MQR0w22nFGcrtvAHARSCF3TikcjeYkaTdmN9rMZs39Ypa
j5uUBOtWEnquc0DsrHA3c+rGhyxj0E0CLsrjtum+WiNekMZVwcdYgiBx6eCvMIp9WpBeVisKHkGk
e4VU1blq0tY4Zlk30h/WKAgyav2rKbWtl9KZp4k+c6ljMCKmfe8iUd0JUFDfDc9PSsqMIdnnK71+
6Is3ZCjBVqUR0bjGMKNsyGFmf2zsEZWv5en6Tfpz/OBk6AM2da6cL/2K2K/IMuFnNMap8Asy2u3G
2LSDLk6j6dYX+YTm289QzUWaxDZ7RflPDqP3sak0DgmoTvveiQVPBBwqlyJIhgcKyJUEo/OHbmrJ
58hQGVrzVbAGCzhrxIDhrWkDvk3wgK8Qb24CWfhfpzWdICj89KijuvpKVRGExXueQUOClbuba2ni
/Rcn9Kr3VBD+abb1hB5gdj5iQiEfQYxEJQRraAJAmEd4ySKcJyf2Np5HwEK2Ri2gfLM/12v8AvB/
I5xGIbOQitN5cdbYBnsNcKjfoxw8NT7lSQclzc7qM67GnHRUciBQ5emdJi/jewyiESJ8u+xqFOjk
8Vn2M6Ce8mZZwyX0GjMxr4ETYo2esBQhFMj80WIKteTbjqlCu6/rLobpS6IFKW0qlJCs7oGn1P12
XjMwEsLjNlL08XfSWMxjpSvvxbZ6ADkLlxbgILI0kh72+cZfUzaqNW/DJ3cFtj4ZHIjR0cY4BthO
JjiPcRs0l/7oJBd1oJpbyMo67FtT882uwR8pgJ6Pjo7bbNuu4SAdfC+ymBidbaN1PyrWKJFFzfOw
lVb7De0Sggy0TJSmVn2eMmj5oKLU1bKmlRTQnklRCM6tthyyCd7jTWxk9+fEJPgERlb2GS6V9ZCt
sSheQ0CKOa5ZKdi7g3sZTP1R+/10qqcolZs6ArmoiXy4UbrJn8qgbp8wbarbCkLVp4a92OUwgT9P
1iwXwVZwl5g1xClF0kvEuA9fZNUloeTTsmLpke2cKhSRCB284ZF5Fxi4VEL7NlKHqIU1dwbDrHnb
dl5s70isqS+q95yaco2scbK5zEE/ruJ4kPp8j/34LCeA8M6aejNPOPS22ZqFs4IE3yx+vrGt19Ac
orHHrZuZwdO8ON3RlAsHvQ+6lgiBuEv3MKXcKw+V50PkaWp4w1FujkeU3U9I2sDV0JLu0zVr0M/f
xfF/pUYUrGb+tDhOO4CnIO+b9OeNDhaN9XW/Fci+/wHEhZBgFxzb+bG2+a1ADrAiSaQP7wSd3zE5
P0kazA/ok/CmQtpGr+g5f0nT4Pq/zrlZ3uBMR3MAEweLkfPL3DmF3ubkyI1PZQYHzovzZW9YHYZN
tIjM/nsaZMLAaFItHikI8NoZA7hmynRVy3p+XJBvtZs67ijq6pwEgU0gZsIo84hNgUolY7nZAFvV
5GqxNl2WDstllHozirquoVuFQ3UmicN8H9yRKYTzPL/GKK+/eSQGDNs2ZYmtEgR/m1URf98aswes
KpoO/oi6n34RyzwdMK0pqYXs09dxcTVV8CMlvlJK3ObVDqqFox+xYTUQIzkPM8wZl3S6qjkWaNwG
9VFEy4BTZEpgoc2G6XtfdcyEdD8GnmF9MnUUp7tyiCeV0a8azkvCGBJgYTAGfXJZ96yG7M1Yts14
21rekJDO4o/x9cIEC2J8jiXhfoxNd084Qol1MY0xbe2pXnoT+Rk7iBOGCP6fsUgC73lCDlgd3BYk
RWzkFEzoizkcqTuQQokfsmRkT+8q5dKNmMBv2ir+Ui5zfKNBCe1q1iJwtzA6NIj6W/+Z+rY3dlCs
qW0hkB0Gdwl7/tua2KrenKzV1wSrmN02N2P7SAUm7pbUqsMxivSzKu5WQ/ehVKV5JnSb+M8ASoHG
AqMLt71U5bhvZcvhkOQWF0zjmZt+FRIacxDdaXeeHvPGyZ/NhDAwr8C3bjtDzT4pd75BxM7uWRpO
mzaY2rBC6bnHzpueeoBRLxkLdXDQCYQ2T1UnvBbAO6PiSJFbwE7I8jvQkBAaPSP2COtokaiO7kVX
V6yj5gevUlptjCDovjg1S4UyTzyAn3Z6ymOmaCbSnUty1sEUNbIk9C0tHmvtVpvWEMkh5pB6c+N8
nbhHKrsFn9y+xlo4hOw0wJsCpAfUv5kwgJS5vGqmbEbhzrBpbNvlk20VD5nRWC+gY5t4a8n8LUVZ
+Mn1uakkOTP7qIjwvOZYWN0WjL+yx28EpvivywSfMECPN2+QYfSvOHt32UJHJRLyCfJmvNSSEVGB
OwVSLTg4hmFRfVQEmJ7qQLjnqPbEy2QN/rXwqpGB9Yh5NWNHhwgk2A6y7h66oY5v8HQwn7dL+3KE
i3VNIbcciZZw7hoCfq4H3WTPbZVkL/xFUe5Mg30JKak4DlXVXOeLLN6auHejFbTpXaTKXm5bp9dX
JebZsEyJbNlEje/dzxkKKeT7No8Ve0rPPmbGu2AxseKO3BLHYlL451Y++qqztW8GHz6TVnb6RPTu
yi2YR/Pc5Do99//L3nls542kafqK0AdAAAhgOb+nt6LMBoeiRHgfMIGrnyckVZdE9TCn9r2oyqMU
k3ARX3zmNWnRPY7FOONmhUcduto1Dfws+tx4On/qp0BdKL+JoHOPMj+3YXy4B6dKq1vfjuKzdqUZ
rlY72dlIyx36bvJf/akH+CoD/XHJ6W4mkXWGVmt1RoP6qrQbnDzG1N7Mkb+QPydnLqmQ9o2TYiQ2
beGNUCEhYCICXp5sNLM3NfYt2Egi3UzlDGQltZfdugTdV6SDxwu7m7ND6elsG9TefJc3fneNDKRG
DWwUd7Ge9acRfb4XEB/THS8kvllwD/64Su1sJ2+GKj0omAgY951mGGzH1ssDKI/Q3D60WV/i5+yw
W6y5OyDK234TVqCOFL3U3UuMh8sSLKbQ7NUtAhe1u0UOGyFyF2WAcPDd19VNI4ucJx5ZyrrZRa7z
2C7FdJXG1S242ujabdzkE2C78rj6UXdYhEbS1qate0UOYl9FqoiugXG6d3qZMOByBh1dgpUqj1G5
3JQoLtJJZ6Oej2iG71Yvwps3nknXMrw+ztsGABt9eoQIR1FfjcBn6AURauqyvrACjGrdznMesKDx
3a2trJhcONAvaT4viEJYIeSYEQTVadBD97UIJA3hvEDbsojQUG3cL/mIlUk5+OWx87Ls0enz4T6R
CrkApUkgR6zEqZmK7sNQj9H1govR1YQz2HNL7s+J5sz3ZdagacrukZf1PDPBsppcbzGW9k917c/n
iAdNx3hwpmv65+LcLaGMhlnXPSFZMdwyY4h32sMeWNB6uONkaz8H0dh8DVUtXzUG0eUmULQzoyj5
NhdLvveyNdrEqj3MkN4u9ILvh3TAjlt07IttZA3WGdpFAJDsAWZEW4VOuZ1oNZTbYLXw9U297ikG
HbgHFdWchX5lAEpBXrzWHp7VQzR1H8OkDoI9yOPqq0iS8Fh3S3w14lp4MYU48ZXok5ylUUh1VLgM
qlzON5hkcImUZ0c36I4MV4Wj1X4Mh+a8ayx1hW1nsMu9wr+eS4kAylSPH8Gg4DbdRtOAzrCFx9Ig
5vGuTYbwcrUi/d0W9J0gX5JHb0jSExotynpMEfj43GUNoQdwMOn8YOW1CdptAKsMEyllhzDvilpc
ZzaE3bFGc74I6fYgleGHR6maH2tizgTtdwujV8aHW/QMwmeGAy3kMvHsjUNzZSW1/xAmCSM7exGX
s4o8wqB2bzE8t7fY116ZD3jeYb+CR8G4nXSd7aK8c69GWHOoFjSC6RkWb03iig8yVNMeHHl56Doo
nRYsSfxjMPnGqRKF1iJDBLgRLZK09nAn0WZ/ofBFgttR7bob5yl6cEBjApgfXOzHeucRJGfqbSur
9W6LuAOz7k5LdFcmNVYL6CVtZ1tchuAj+ewo+l512EYpL0CIRLnhHo/w7ns6Zi6cWA2UIVadPEmL
QeWAod+2jvVwi/tbe1votjvlqeueFkE5s/qZtZ2hN6zH2OnlR3IB9xFQWo41hC/ka1hZ4+cKxM8h
LtpPuMbJvZVHd/TmB0QIG1uRd8zhcHIJeSjoqjw9n9veOgM+MmRbtNt6pnu4vr9kbY+c95DF87k7
wjxtON50ESYsTW/AcaDwb2Ny04OTcViPQeHlhzlEhmInupX8YyEIX4tk7HZUxk+13Vc30zx57ZbO
j3fkvKsPk0efp1SWPljo1pzoO4Y30pELp4LMPpOgBQNTyZAERIMsavMYN7IiQrLc6Z3izC8TZ8vK
Lm9n0L34N3pL7sP+akhfp0HvC6uY7yE/p5t5FfNZYOv6RhXIn25KEfQsjkh+I/FN955XuEcUzder
UNK82ixkqkhLu/b8MNll8sEumvKD55IDQn9cPWaBHZ5+hYou1iIgW0n8+IzJDAKqCRR2JIghik7M
OOOzbJz6FXSoyM9zhZXYJgNDOZJi4qVUdW4yfBcVI0TIroXSTthuEEO/jCeGWMx9+3MMKLo7uKfi
yvN6fR11EDijImMaBVPxPK3ndZ+Q+H9ag/Ai94JHUAMziFD8ATKoQ6Xwzitol18yGv2wvZlid0yn
SMmqAFM0in8EhBG1pS+x6+B47FuxPvep/ppJ6y5s0ZeOUhxUytXBzanL4BKqej7awoJ9/4Mw3LoX
WengApgnH/gs4jDq0NvCHvxhrBIDEs5uJi8TVwNtWMeYBiwTgrS0UstdUYT4e1YlL6aaI2g+Gj4B
raoNLu/1OfLksCGA1AKc0OdhNt2k2nOfRF9jYAYTHYpKgMg2yoRgEqwFLlGBHvLaaEUDszrKEC1j
RMLFZ225yzHP1nYLcfMIP0XeYJRlOB51cVWz/J7htuxd6cePlRqCUwur+dx3B/sKSlPGdH1Gdx6O
/IU1pNlZ1srwAAIWzxh0aLYaIehN26jkuraA20ZFrm9AnJW7PMQHcgVCGnRohm+DVg6b36rW258g
lt9Np94CeKCHuT7QHaOIEYCtfwN2T2NPg74NszOg4ZR11iLj834NidKoWgcPHl7bLy25VM2RzST5
/Yu/xSmZiweAnGxM4hjTRG8uDqqlD/TaZmd0i/qXNe9rWp5lehMWUXH//qXeAq+4FNqz/M9Uv3im
v7lU1mV5sKQVl2rdrt6zR/Aaq3XSfH//Oj801H7HCpkLeVB/KfqR5Ajewu8KtJC8voBAhB2aPqRh
750FI0C8ss7ULZ29IrqcotTO+OjVcysTKuoZe9Qbi1kNxXWccnfv39LfnxgUKKBKhE9QYpRGZPN3
9NJoww8CPJScdQtsMbsCSCfymQraKyPt7Owk7V8WcJcvLaoc5z+u/b/D1X8YrqJRGIIS+3+jgc+a
+U+GzM//4FfjCEUatD7+Dej9V9MINRqQgw56ZU4k4b+ziv81VRX/5TPsRMtdhD9YqmyAf8GAkbcJ
ZOSHyNgYOCX/1X/Aj/EEQ+I/pqqGH0sTBlxhZLvA/qDv/L6edKUU3eYsPLe7CqxOPrQMAN3inqSi
+FbV03qGrLonMXIBdc4wMy6uhaj6z3keDC1yJYN16yQSWfS01dMtmg3xU7G6sXfRZcvykqJmlZw1
neioOutRWNuODveBhJUkfynlE1gBhKL6VmB3qKGLnqdEyW/TpP3LqRvDp3Rp8h5WIPRLRleOq2l+
ozKsOLnTCNPDyZ/KfZ6KDl/4OqIFXVcCBRQnAG1vy7OkLNdr8E4T4mGdd1/E1kjONrXxqxI08BNr
uipAA9ILqLP88xqL7tmLk+njkjAOcfWQvuJ/BLgiSnxaZv0ib2F3IIG1aAHQy0+Wq1X2zg8dDP0q
K8u6a+ocLUA5Vcn1ZLnxGeg6mj1kzrAk5kZ4l26aF/nWZtgabeCzps8rAtI0cOJhj2FKCoOTefNW
hFV4HCSZG1SeoHzQTprejP6IqAaNgFM2l8kRk4qQU8mbjjbkEA468G8PVZqA2FzrtJRMelOXhpHj
jjD6itpB4M9rom/a4IS3KHtJG/bxNF4EEccRdCAQznGR77HtDFbGvehjlN0SXfSQAje0w2mZ2FEb
Xnu6ibBGm+R4P8mqOyU6pSth2cPX1EJxdhtlVdkgkhi0Dx2FwTnQBTrj7sLLiUoSZ6utyxuHUarN
OGOFABzoBv8EX06fypEeCjNPFV6Q+8MeSVczGosT5HsQuGUuneD2sEeEp7/BYRtJmCVD9BHrbeyQ
mX+hyZ0N6lzllUhpFy7Jbaja14HfMp5stXbZzsKs6ZW5beltEH+BRpF5KyJ5PUOLU4ygGgXYkqOV
VHf7NdK5OGvrgFoNXP5tMPfTrmlr/xBZopfIjZOOOA1kqc2SOfPNSjGYP3U2zk3T3Wqhx1PundVS
6kj5nt1Di0xvK5coXX7j67rkEGmFml2xgTeGne6lzdSlwQcsYOR8nTBB31VOA/DQUxN+rGirhdqM
d0KuERv+ark+eAPyk3ONIBbYTXoEJ4QFjStPDL2GHbqdAHuca+UVh6EqKra36Lem1dsy09rI2mHu
GTEGGey22nYoqxzyFMUkS4IKw/jIsJRERQnkXLgqwtzWRqxkabx7wCIndCr9y7X14q22eyigdq1P
YNR47+OyMKSbPMrnOuxZgV7d2deW3+hgNwyj2ArY0QdEyNW5S4dyn+Vanoklmi9HgcPe3FXFsUNS
j6ytWruLYOjGc+AM1T1ihV6NSnrgHynS1L0VoZWUsjELQNFrKD44FmGgDItvYd94uzwAt9Zk+fBo
jW55Xc6L3A41uunZ4jsPPeQdGHJYDW+iwUPEPICRjS8xg9k5CanLsfOZxuKWKfdT5KH6maxsbCrB
U66Se/qHKb5YTr5F9bje5pk9+ZsFx5cTin64oheBedvN/GgLke7sSUdn4A/XvVsGE26xuXsfAJPd
EZ6KPSmGfyZ9r9oHPo2rDXXUeOVHhb3vFkCx9E/Wj6L0vE8SSZ9dCjpls7Rpes4kVj5KSZ+qnYMS
OnwyEFNkQ+zYoHVtvdgr7Sh2frLeIJHBm6uT/HadiI1AD8NTg8YVakpRfjk7VrTskwFRldhdx60C
fbid4bNv8Rjuris6MUfZV+FF0bvPdoCXN17xE6p41bqhsaT2MBtBVSIWkN7NJaoo8SpqylvoZlS/
ImejhnR1X7JMc4iEaIRR8yxqAchrgXfEyeQmH0Icc20fB6C6WI8VddbehhdJa0KOh34Iq0+oRYe3
qYIjuE34/J9yilnXH/GCB2xzA6MFHn2Z2I8Q9svXQXvqM3x970GSKd11aKGRJ3b2oWSwdjWtKoRk
7NGsLikI9yCOSoJumo0PmSea8zAdxLMYWNKouDClJ8u8Cp12OC2W79wMg4/oEeL/7KpZPyROZRT2
LSe7xmFSXdK7nC7pW4HLSH067vlQYNscEjJLtNKiIT9lsZXdWsUIFLCYQokPpEh2eHK5Lu2jdD23
yzY9VEVe4Z1axshEreAFqtYfvmjQNji5WVN26aIsB0w+7oAFOstXcL4oYYl2fRRgW0Ac5rLHuSWD
Xi+74UOXzO7lmsbz5QqNFH/DwEZhwO/Se3hjzoObTC7OjXmLj2Wn9BZvoPRjC8IBb6xguU2HBi8m
AlN34kRfnunrlo/YMVLBjAFc7HkWWEi73opP4qjO/V7dqRFTnZukZ1ykPtldEBXuRgezU9ifNKab
9alZZJ99ROHHmMmpJhg5iQobq/e1STEPr8VY7UcAsYgjTAvugPayfqNVE+zjQlPA9GhwbVIyZZR3
e3rmSarHIzIFjzNiAkcYngnGnVl8xqcsEVCqyzsBUXUHKOR8TCw0SoM++9/56vf/n/kqY9F3VcD/
T/k8FH8myD/+i38hD90IRW8XMgaKVrZHXvsvCjmV+n8xN3egcPnsWqxK/jtFltDEPXimVGeUm2Yc
+98pss9fMSDgbwXcNjCN/5HIyxvcobkdh0EwNDYKLs/+q6gO5aSrarS97xiBAxHDnCgW9m6eXatT
O6UQFn7KyyRTh0FjAbAFU+b7L0tctvWlg3dW5x5ay0PZtuhC1PGwH4+NjkVYot/0obcri5Y0LK9g
xbg9hjGMsaaYOqMvXoIIEjvssgacygCusZ8Tu7XmD6kaIWyX+ZgglMSEKHMBsI9UykckHpkNk47k
ftRvOfFA3B9qIhAmZmSzYIr/gQLl/KmAg/ev8XtB+Yb/UUe4b1sOzRA4YLNX/3s70ApF0SmRKTyH
Htmc4oq0GSe27eKgmPxqNpx+9ChvuTWX5I3nYb6ZLB9+K73+hybID0LZv4t2bgkDPAouDw4YeCvm
Z3+WNEg9L1Uz9Mk3p7R9sJdelhTnqzd2gLNTi2ZYsalkluKQW4BPAp6WLy26fTkQ9+K5WQZNRiFH
33Tk7Wmw0/0aJ+u4W7GyxLBRqTVdn1L4PHirBmvRBdfrWjj8WBV5A8JidjKMMvqHzs6fHQ/Iorxk
35jugDCNAvbCn88EfHDJrKKsv9uzpYMHv86s5p56qVlv3397f9aD5kKmIPSiwAdfEHK9Py+ksWmI
iPjxN4ijmP7t2zIuwGO5Njt8ETL3bpD79cnydOCXWPG2VH/TPSPv+p/YfH/2k37cCccu9Fl0JaEP
vuVvOiLRdrTkwbdpCPvg2m+ZS6pND/1bIhs/BCszivef3SyM3xYOz04w8ZCMYhHCWH3bW3ERryva
zHe/LQ44He+7qxFISs/idmQtJDgR8tjY1Y9j9A9NHefvZ8WIhxZTQLlGlLPfvPWcoVsxT271bSjx
NpSnLIrrD6VL0UpiDzstaW+WaI3t6rLJUFmzKRXTYn3KB7DQYkNPMl6w7ENwPLoj7ZeC0oKBYXlZ
TEnPuHKcPQ+r3/ff1l9Lki4fWlOUoGDCWTNv7tlyEks2pRQv5QifSQNibhG7heWwMhj9hy/z97VY
+AiJ0F8Mkfx724eDeTj0DMSHlwXr0XDd5LIMp3tUrDKWxPuP9dcigF3t44lOd8WxHUSt/twADo6b
oJHt+qXWir7Eprfo4L5OjkZcp2mqoBE7NA8aFf/DdZ2/nxGKLy3UEMK4Bx7izYVjy5TlvW99XX3L
cVfYI342DlsJQLq30ePHbq88sU0K+azTErTDruv7PqKHbQF5fsyqde6RzAnR7fuKDnAegeIMXIBs
lfaAiv7DWwrfLlluUDJw4cNjKgMh/c3n9xPGQ9XYN1/TMHPZijg2qfV2CJae77NqO9HTMRraIbi2
RJyxPoba8zgM6kBrgmVUeIl+4VtW+WswYARmjj+vgKUyOR7l3M8ADP+O6ILxZxJ8GpBVj1Hvr2TB
R59KNfB16h5VNbWjAkYsDbJbbEI0XfmUC7o4yYR32ICr5fOqTQqxoftkYLMujCOCvL1mQZcfXK/z
WbEd0vUL/R0vr74HM/pRoNxVPKy3LOjI/1Rn1CVPPTky94hzV1Rj7Iwu56diaBDS2gORLdenFV7Q
9AhIIZjuceEp+Vm0GtkTmzQNGr6Zmy6gTTb0J7ICw0dQuASVmGksD4OoR54iEIL4aO1v0AN2+cnA
yZB3wolBDhWu7dOSklvP0mi/aOpDQvDQe3kCdS+JuLSVzRE/zmjLXM1KdBtcC6ZD3ecuzPzpFHtT
B3fAwyX3aJCY9UUKPms8H5dxYS0tDCZ5dch8OvoiRH2Dw9LG5JF/dGFMuX5qw04hDtV4dVsUp18P
4OeULfMG84nIOCHYMbPLjW/XLD86FCZglpW0caLuhjjgH5lsdYWKTFvk8A5+voSu7ax+LyAxZumW
JdcAdoLJZRpvo8g0l6bqJRDjUMAzJT/fKvK/M2/OB1bLD8wziJPzGiMRdGgAZpkrCssA+zUMLF5L
q2XH4xG6zHJpIsWpJQq4TgB2gBtX9zV4FCkPuaClEmxaJHTZU1MNIilEuxpMP6RlzGD4rxDijOVB
JQoc2bnlLRl6qRUyJu22Waac6/tmpBA/hKUd8E5WOcLiBtNcT0VGL6E2uVvuLPiWIrhGtshD5FEb
LFediKc6QSXPyHptJDIl3F2/iomHaWDAcCc9rC3+lACtFtM5xuMYzewagNNshTHHbIuRbqIk0bh3
G8UtaZ6efzmP9ETynRdRNwXbAGU0/aLDDnu9HWUeanlTgN9IBq01A02wXWKq+ux68ELWPxrH/GEb
CS25rdzDfoTJ4QTN83Wkj8nrXENp1lxJCoiIiVo83g8IOrNETWo9PbZhzf93Di45aiNzJmvXpI4r
WYY3Z+xz3evVBI+0IBHLO9GbLY14A7+0B5nJl/AH8kaGsK0jpkeZFS5vgT5hO+gTpJkhr64mbLH4
hV0/9NwfTp+jWdUiy3q1a4todfzTEpYYxCPr9ghxL4umHbqI0kSmtEQo9BDY1gF+a9KKgyp04tk7
1naJdPlkt+utr8F1uNtwCBEF2COzVGIX3Om5Ca4DtPsM49ZWJYrAQZyL7KZxUoD66LSN5gvjTQqw
/QBEdJiss2ywy0xvlh7b4WG7lHBc54siHlCwRHAcEaSXjq5B4z/Xg8Mokdl/zojrAU557MFsHppo
CbcB2jFzuScQE272SiS57rZJOzZRBM0yCMFjxW6Ad3pMG8a08MOCMAvrCTUeVIYJtppnRukcOw5U
DdMlTZNL+CewKK7VwtSWxZPlJqRIJJu69sAIwKxLe1wG1hC+n3jhXDQYEvN3nTuNvXO9+oJQiRMz
b2kHE8dBRXexLWfsroc5ABN+yOtu5CvVjudyFjS6QnxwGwHb5iWNvHxWrp21sZoOABNmfpISpuPv
FJZHxKXCnqrlLlK5yQhTb8SEBD7Rgt3YhUotosPEW2QvOK4aWFBThyx8c8bX77R/ATmClR6WKPok
F6iPwyjZeg68VBqnCVHpddItTbRdFfu06PYhMkO8BKXGjuW4BH6Gg69EwYj4oMPU8m5ga/XMCAhR
vndqO5pnKZDxvmFuUYHpWze2NRf6Bdo91civOoSob17OzGikgR0NF6yL9jDXMN8+G/N17Zl7hzSF
OtCw8d6zx7h7iLuFh0cusyTaT3qW3LFk9sdbaqpUsrHzcSWdPoXZaN7gr2UNh978nfYawcJds8Uk
zkEDkR5MiQWE8MlBppl3LGQf9fOGrDex2Z9WkrFzvZDpuAOkE1bNtZsRdncAE3oF92B1dPAFca+y
f7CrpXzEbiNCwr7vu6yDFdUiLxI009i+tBVnzEWfVJZ3FXOnYgsXN+u+ZMRc5K5wxim/ebSzezTV
g6p/npGfoJ0eWQhRzzDXmotW+BBRNkivRD6+vMjrDONhnn3MTPoujRGOxp+2ci5FybG6ZwgBb6zj
GwFaaZawW3NO4QkkyBb22WSS1LWfGRl7EqehaAPORavPwOdGD+UrpT0sejpk1ZFRK12NUmULp8WJ
Wadxos5UyklWbiXDg3XdRVm5wriibTo3Fwubgw60Kq5mKJbtYQImLXY+Cdr6mORu2nDwBUqeD7Ar
MNz0lOtsIalHcPqDROEmbzWuZDjE2BdnHZAsJwkBZdc19gwEO6pt++jMTuoe4nZxali2slwzmqjC
t27boqm8Dxhr9XlztFsJPGgfNfhsP9JoFerKGlRt3SPiPqxPqmZVb6AdBP2HVU5Jje25CmTfHkN4
NOuCVIxE0iFa1tKQnRSMIMhgYdVsoqIRbrqVQFy78KtT5WH9LcVIxxB0AqW771HuixFBMRBsktbv
4ONAqOK685F0LmwfH6u4sorgGskeqyiOU9CS1qbfUxT/GTFsmxBTBBCZvtJrsA+EEijU9y4Pk9/+
yr7hq8SBAzi7glXDTI0JCnbslaA/+mHWftt6uzae+3gin7JBlWBmJH2ysRg17fbQo3fA+q8t4ITZ
sRdI0XCsRAQSNncXmvSx5wBnO6ReYCJcxaSWUJJZqJczH9HlnCAoL+A6hhf4HlmkpEiATRw9flrl
nDKqRuR2PWoJNzQ+jH5jsr9gKEzlIHMH9jlogakqo+PYVVnwycd9jFtxWuRro2NiKXoN7dj5hEl/
GMjsw8LiLR091ycLnm1yN2sb6bklluVhZg4N+EbxzBleDb69n5w6WMUp8tySlKgGr0FMqcbK5kHJ
S0L6Tb4PboCAWJUuZ/SMrwOpCW4PihfU1tKcnGE3L9xpn6SSa2OyI5v1YfL8jr9r4mjhl9l5E7OX
Br/puX+4niZOFp40IoDoHkfcUQ0UzOmfoz4y+Sp9caKNi/9U8HWeu7o5BG4u68ukySeORdW2Jpeq
W2lSFpzfzTtSTR0o53W0BmhGO5RUJkOjcWr6Bhvo+pCvNpHd+7x+Yjjua3scrmj3BENlTqlfJxjS
qLzHorFNxyKIAKDWcPCZPVhMwlBwb446qyg6SqYhJK7w4MwdjAPG88XpX29i7dhCmxE4FBmprFN+
Y1MpIHy7AhOtEDCqVZqlmMGGpmapltj/hIoUN/PzM3JgOgZNjqbpY9jFC08s8trhG43DBHbtuk4K
UFe365zbcfR5KqSfFyeUQxh5nnmko9PjCoyAp3LW1jSf+p65THrWMnnjd9kKQJMhWGpTE4dBx2Kp
6Nc5yzab7V6qHXg2shT06002PzXo2PgnG1DnFN4iBuE22WXATJb70SsGWMNeCGQ50IwpSDIfy8Ez
W6SrOtPwqvOOH4gxHiRRc0pK46zDc73eiBhPQPcIowKhkl3y83RNpynh0BwbgH4YAoqWLDAQvck3
0WdiPSLfmJNZ27yB/DVejZY2ZERtfpqspF9v5zKUHJcORDnOsDSVJjXENTAxybxozd3+3B6F8vku
5Tg3fNR+IPBVl2LBAvTLBLsDSD4E7gIhyapjLZQ4aZAT5Aev98zaLWs3qq+q2UnQj09KZvbjOb+g
EiS1c6P5tqM1VVyrXnsewW6nzPRgIK3niPM1lHzMqbP+eerHDJD/UIytIrjo2ROX3uyoAnILJLr8
tYJgzJvNW2bej7azmA/CDJL0ksKT76y0v+oLMbvUT4BB9DIdF1d0xfOUOgsvJf6Z+QyJPZFrDE3Y
87QMbAsSg18VcbjWCHUeliRBiGZfo+3GnxJqln6vLctaXsQEgvrWtjD/YfDVppQjU9onA+4dQSvG
R1yZxWghJwON8dZKI1N0AzozWVi/OKbIlxEwWHR1WowPH+MhTvhqqqKh2+yW0FojyHOTX5OjRH6z
PvHWTcRdnY5y76yTbT0Ppn5gOQU+l6e1F68mVLbEZCB30l8U7oRyYemfkHNPKVWKkDzq59arp9Kk
VqgARLjx6a4pGYmraRrMwqhn0xazYqHNkpR2ONc3trcsNRj4BIu8lIhvgbndwlU3W5xqOWmvAsCq
JK96zpNjjG7MeBcsch3OQnTXy1M4uNQUHGyWR34gFjUROtEqavg1kad6YlUOp4cvaSxwiTPzz6px
KRL0Rs66fHIIUiT8Y7AdaMi55T5KJlMF/iwsyng1N91AetDJll2mMThRoQGGexB3WOgUSTarf05r
AO97JGfNrY/1wkm4X1LEBRTkitor4FnSHOEHkYOHmuoWJmApPiNitEuBYWS9QaFrWJkMpKIunkWz
mApd/4wcOECZRBfTR7Mq3+8a/Q89I+TZokgw0JG+87ZlCEQTSfeonL8uMfyrDK6nVab+zsIrp0SH
D5cLPun7l3zbVaNNFVKeeqad5/6Nl9NtXYe2CtRXP5jN9Obn0ijxauLo+k8vBSaPHFeYgRGjKQPd
+01YzMUgcZ3oTnzNvNjEpybwxERSSLAmdr1/rR/dwN971Q5taukIH+NJVDn+mkoNtpGOLQvxdREV
mhcXY1q5rEQf6xi2YdpXeCXt1wAxi+ex9vyBJspUYpK3RZ6GupsuhJlsRJS8Jvb8jMy/Zh91n5gS
Afb8wJkgg27mT+/f/l9fRdDtJrHFF4py3H2rNAeBqFLJLP1nlTkL98EBZcpCDldKqPcv9deaAy6H
hpePsAl91fBt65g0KnNrEqjnKIXCoU+xDvP5yVml2SJBnEDO+4eHeztCcfgw6By6PtdEy/OHzN5v
66DvBhEmzAqeWy81MUotbLbbMSOy3wMvN2dWHJHvk0xo/vy9RJClvyHaVf7Z+8/+9jUzNUXnkyYt
Y1Lfcd6uyLlWyzRHifhCT4LSUacpXaoQLzQi4PtXevuWgR3bPK2wkTVlgvS2eQ1xswuFkztfxrqR
xRX8M1OaI6ksOORT12SN71/QqPT9vv5dnzEY6uIh9h5s8bcrCHPOlWCCbkpfMydK972ITZgjKGq+
a9x3JWYZaQY2LdrKwk85Gd+/Ae+vlwv71o1gekoZSh7d/XO7UyWirNzK+kuHdBbENmZZgHnoeqRR
fvyZtkx9alJjuMMmfv9qilvY/1BeVIGqORcQsDEvp8p90+Kh9a/ZxQ0G9lQLaxnWHAlDAZ9o2IVC
WSF4NadQRGs5++awnPSIb+gujW3jGSWITuQiSo40j5y5X2YMiApadHsEs6GUnGWMlhFgbgrL5FYD
HhEEC6t3JVXMkHXmOA/ajNwG4TpzxLdt33Jb8meDfiC1J2oWhWuSpjxUPzI+1zHJcpzjTEbXZkhm
3n+Y5D2dSXdaJtNkqQvasu+//r8WHOwEz0ZtGr0i8ffSHqksUste9ecGUgA5a9IqUwJFgPAIvb9a
1u9f0sTvP5YcoTb6MaNBWvZv1DkzJzQGgCl9jpLA9BjHLAqKK/DpbmFd22DouDAo7JEianFikxRa
SL7zL9+/jbdPLtDWsYmcKKryf+FbPdUaibiZb5l+Lhran+eoy6jqg1vMbn/pDur6/Yu9XeSC5Az9
/NALhJFceks1Dxw7ydJ2GL5MXZuvT/hEmWWR563JrN6/lPtmS/PbkYn1ADZLJm9C2G8mSsm82GVZ
T+6HeoApBpPTCVRySGijUulm+czpsGHgXfEPScOGdbn4InqiWPPxmGpp69KCoeQx8/sWVh15KE4c
JlHPEioUdP7YFWmTp6attVimDRAq5OvSsykMTJu4qJiOPE6WA6NkYxU+ZxEWGWZS5IDnZW9QECCU
cmZZxNHyUDfIKV69/xLevG/eAQIBAhYFE0jsSN++Ax8LGfC+4/JhrHJzMscNo4pigwUWlfP7lxJv
1rP5pgQvXEYjJAaIo28GjtCj6Kk6XvwYes2Pa+EJElwXU2dS/ZFQTwj6OXsHfGgqQTj6pkv6609Y
BZgOgTXbvFzfw1PFDDTKlkjnVkNMR8Eq8tFaLwe2KkjMrEVX46jFSMGEu0JMeZwB2qQs+TX4Y1pk
hkhWmbvsnRVld/4OWSvzwVc/5yrWj0m8/NmaQPve9HgtPzVfMnfIWsC0TgT+Zqf6zDSWf43Q2JGs
XQSCTPEcw6jjF2oH6F7zD+ftD47Lv0OElFBFpGujoYtEg7D9t5+v4wmm0G7jl3IS8pMt43VFxHQy
1uEMSU8+RDMWr1eMO0WP9pB4wKvHVCG2QOe7pocNLbJyi/IJRWHjhhiO9bEgU8NHs4Zfi9hf98Fj
NKWPKSbSLUJatL/wXYmp5HX8wU4i8YpEi4SZ2mNvs2XCE9xMftxcQFIZrjin0pUaPkUi1Bpy8dEf
2+o1i0Dk7EMwQseszuIvbRnZ3g6xGHneZRPEtryGEJZZNuJ+fus/mOnFDOo3GJxtgWnPLTPz8gmY
nXdeli5ThLxVtPuaYmbEp5zyCzgBHzpsAksF9SS97CQzi49pbU1ferYt2Ntq4YmwfKOv0q7zwUUu
/DEeXaTPahVgyCdSEFO2heCURYfvM2KMw7fSavuHwMNEmC7WePq/7J3JctxYtmV/pazmCEMP3EEN
CoA3dCeddLGVJjBSEtH3Pb6+1qUiXklUpPTijcMsTZmRQQruaC7OPWfvtcnBSLcMFJbaL5kszT59
Mnq7TCLhgJXVxlrU2ofBon1x4zR9FETD1R5msinop7a6W9OBXb6t39hj2jyXCnY21VbPZr+oLyps
q/tEMfZE+Jn3MTJ8bLkTcZvcV37mdAnO3yU5/vrx/HEl4FaicJO6NmocJkk/FfiD1UEtN9viC/pi
doIGYKJ5WxgaSrLfHEiuqz/ctOzEdJ1JPlAR3nDvd2WzDvqRpIb4iwb0E/s+4LPeW6w5AgzPluAI
3Rj/vxM2h0449LeiYbnHEGp5fZRoemCM2Lx2Y2LZwZz3qKqoYLJzLCoDzCvRUfg358A2EzLE0DeH
90VBgWAkpLTif6ibG9KHytdiMNzLkhboedRluhGSYRy2pKTVfpRF10YBAtPr5JPilHiFAyjf1r5d
9PJrmNqYDWwzQgs8qy82qRT+yibtH9Ubb5fj7YJQ85k6Fd+7l1NFH89prKj8wox7vhGIVkljzoku
4UlT7ftfX5IfV+ZvB3NQPMp6jWL8fWkZktdEc0WUX2zVKRB7zeqdVtIo94oiuxpNY2AjH1XFmVmv
k/2msH6n6OPgsqagpuKeMHjhv68vSFHrZghi6xcARNx4cWLEO6NK8/28zs+lJvKPBmpxDKURE5Sm
VWyQcYtVBr8+BTBx3t2VjlR+SnEJ3gpqgndvJy0LoczRff5Caln+QLe2fwxj4C0BuZFrH4xmMe+d
ogfKOCxDtu8S1iQmAsW+CGvrVMeRQP7sRMp10o+PqNesoENFfkroNO0LIqcsP2t648gPmlclSI07
uqr5daUMOFTslifCG+Ik3mpLV1ytxmAsHsxtY+fUwvkgeje7K7q0NwiBiaEZmMnrYqfJyXBYRDP6
0fskqmoZcty2AUTI9vOSx8N9imT6Yuj6+lIpXd5F9qxNW0Pvp8Ez2iS6m4jIhm7dqHy/eEbMP/ZE
fTAqb1JmLrx+b01LcS/pySnc8mp5JDil/TBZs37FoAPrwK+vgTzFPywMXAKTjgYPMztoR5dL1Hcb
2YE2NLeHE35pEtM6KY2RPtSJsWDab0r1pE3sX35zxHciKG4+Unik0hcNFOGzyPF+PCRc4Bx7eZ1+
hTNmHmjVKYUXDotypDmabrPWNO/iOl02Rj0ntwShtF9qQ80fahz2UA/Nr60u2rMyCmP761Px81PB
BxPowlBnScPe+0XS0Bn2AezLvro2W2BJEUpfEDIsDMZIsmfb4HxZuwG/V6m8LGM6YSmzR2wwv/kY
+s+XxJUqWxYFV5hsf388P4iBOqJ5HdxthimCtdZY/OwuXm7sdYjzyyS3+626juIO7E2xdeyi2Gqh
vXzEukqOckyOzt1vPtHf3CTSbkzOBrma6k/K1JUY6JFQ9fQrLkD7trG17gPcVSWA0ZIceV0NpwFo
5aE2y+KCQA5YB6XD+8XJ+/kmcWIX4W05jZeJMhivKMQby3ObJLv99ad0jJ/OG1sVVu23ZBU8l+9u
5XYqrA52Rvk1mhlQ+Tp9lxNCXeKOsPqPQVMslkdZRQ4B/G+gLL1FwzlIY9vipEVJQLNNCN8VVbsP
dTgfHrI8tNe49r5w4wz0OCITuhxk9k2pdPFVZifdHtb7fLIHzLpQacATMvSJBq/DxUU1g1aHaIQe
dJ9brFa9U7jtt2nWK1fC1kC80B5TLt8u7TJPFD6pldTbjli/I93A9kulJdllgXyAnQoVJoaOJoer
NE48HCPD9AcQf8uGGre77eHfX5S0rI4WPJjLlrhvcNwzo0gf9A8De0vrL6wyK2hrh8UCWASyeTUz
vHSKGPFKvEgMGCqbq6kGIumtpTKVvgv/mQl0kU8Nuyn+oEE+1ojurPCm7ZToUAG0oxCvkieYO/2r
+eZc6caU2LFfX9y3dejHdcpGhmqxZiD8Zmf87qEYi3ApRGMOX2ndN9H9mhX1tcgKrHSG4GgaUrXr
oVPHk26P+N6iaXEDZ7JrGvcRUo3Wql4h8JNB0NXNcQ31etoZ4F4fLJFHwEan7F5vzYHpDy+lbZu2
+XZNS1LCzDFSL82Gefa3b/Sv0fpuqb/+n//9/KUg4gIjZpt87r8H7kGdhvr8n33W/7fNEDs9dz//
zl+MPoGnGpUwuR4m7UFCh/6ykhDc+QfPvbBtnV4o1gDBEvAXqs+WdmtGEtIDja7doeXyVxqhQSAT
eaPg0miFkCL4j9B96Nd/WIdkD5b/sDN0NI32gfV+HUIZo5u1PphgSlzXx2SAgAUQ/G4N4/mQR421
X98gRZXkFVmSXGRlJhAjV/KMKkk2GjoYR7mTq1cZ0lxGsaFxZ5Nnhj0LfEUQdaZzwtXbgfEaE4oU
+EmZJCkVNK0+VXXoYhwBtoV8bdNL8hI9wBRbm8Qx0WOhKO+Gev2s1hlh7wRE0EudM/2WNmZ2EJLs
FDowngaj8xiBlVeVpaMJzMMiIH0kPmhjN12USQEoqlBIUdIlPap4A0lB/r+ualBUde6KSzDwY8o8
cdbPzIjFCS0fpDpJplreIFVjZTRb3sP5jtF99KSJRBBwm91osz1chYCuVkm80iT7qmxMicFiU/9K
bQLWRVKy3DdgVktv7AbDrelpqYPAybRAa7UgMnZWrtZfcK01pFoYaFsljauUXK7mDdE1v9G6JLdL
dBC8JhOWlyqpXj1m6sdKkr76IZ7OvaR/IRlYnmTA7zmSbDBjSduTbaTzGbV34tPrSbbNG01shitW
GEBz0Hc623rMR5zBcKC1CI+zKZlko6STNZJTpgAsS1oLuSkIMx2UmSlH/kOCJCqTnLMO4FkhyWeK
C9E3c2ChNdX6aCI93jWSlBaJlNj0tE+OvW1OO1sS1XTJVmP0AWZNKMC26JWHysZg73usJZEtWmCz
OQ3wGrDZ9SGs7em2HqfmToRmcrWyIb6a3hBvg6S9wQXoLtNBzW9N+NC7glJSeBNipb2FtR93TW4Y
53VxkqsoMtctgpgcJokkzLGvwLZX9nDnks4YL20mmzdCUumqSALqUsmqkzbiU2jb+X6RJDtbMu2K
2k4+Dq6TPDWSeFdK9l0hKXiz5OExzDaOumTktZKW10P+uktXQ/hzQXoEACTM3CFWQVFa7klvav1j
yWzhqong8CV0rvZpmpuFV0hOH9RxiH2wjXTJ8BuJbNkrKtwsyfdjqoNNfZmh/ul16Dw3gACtBiIg
auvRK9ABgjwIze1bjbA4JYgaYIJkUYAVVCJT/+i45V01GmgkJX1wlRzC6g1JOGOIPVgKozmPMaN6
ikeJL5wkybCTTENYn+AN8VbhpQ3deFeO2Hox/Of3boJldzRQUKt0/I+p5CVOkpxoD7kdIPcqbh2j
618oK0Es9pl2h7IG2hH0xQoMI1NStBYYPGn0SEojLff8gwW40Sbt+GCHa3lhZkUVdPVAiI0kPfZA
AHAtF+F2SYwmoKbDpy/ZkHWHV26dm8o3MrYtq2RIonTInpDNzfc0eJQzoSSUrW/YyVYSKKka6xul
nbeTpFM2rQRVCrG1+rSAzzapV4x4wcDl51HSLRXZ6M8k8TKV7MsScXGH1433Oxj09rMh8XAhst1J
nZ1dBTNzM+YE95B5abhPvSMRm/UbbnOS5M1SMjjXrsp2pOqsRFkuFrTScbYp92i7wuVdNmRbybqn
GgY3EGK8j9bFTHEOi5qcuKhhmWNT6om6hY9eN/XVUobqRtOUJxiFtKZJiDM2SS4wz9sogwUOHuIL
ksfMndSLnMkB+M+08XQg8C+5HSP1q2JxtgrXvsBqPJOKjZ7gnPQKZFan9NFUdM926oAwwvN3o3Z2
gQ+rMNTT6BKO4+LKRqHm5vYG5Yp4ELw1TisQ/cfWNZNLYOmfmJLYe96IKykD3XjqIhM+OKXjZZeS
oNSTVX1ZDGZ706dhc5Wim3tQwiQ/EclabyqtI6xKVFEAf7DeMFk2Hun06cRW8S3b0K22MWzGr6sT
DXDYRP1sGo18uZCQ9BRjVbpH9UjSCQRCHCqpiHYDgm+0ldHkK1oY32ga28pJkKQKpHq+VQdOfRlb
a7AsPXF7s+4eXZMAXLpNYPKxpE3caOSgCoUhJFd2QHsXGcOuxGEuNb/1fT6Eu0Qj5R555nqTjZDi
6xE1t7f0KiHug1ISxo333W6q8aSNkX4QtHs+TQ2EyQnDDippXrcJj/ixozrcIwNAcZo1rfgI6SsJ
inJSn/KwDfesTPjFej1Y4L3crEOqfK5xuh3q3lW26OI7sP5lfmGZSrilZdWd82Vy75lBh1tNbdTb
eExUDueEir8sir01UDqd2oX8K/IJ8fMPLP90xlYU5bMZ7WZj0oKVjbSny3ykUtUpycs2mZn2VxO6
U+lQURNWtEQ9o1iQptE0je4Gi0LES4cmhyhniP7cRE2+r2IeadACTobDvGvZwjqh27yKts4uxjzW
Pcp85TLRi83ilsXNiFF/31vDR6u13iiLbCXcYRpesp587yR+VsPhFYHqR7eaP5TaSiTrOtGcNRrQ
qaVD9nqT3OlNVB/q2HHuxjrTH4Ajlp8J1ZwfEQN9dMcSzNkzwefECx9gViTqcKibrhn7HUHGzWpf
UWqVEXhBHW3pBuZdb27kRAfHvuUEwzQP7k3TNwvuITt8HZLFcPf5OHHhFNgoCL7HlUCfSt3RQ6qh
DsR1dZXgQ6k+1iyg1F7SHTCH2bbBCVAcXIWsSjlUCCjysqMWLcQNtInz0Vqs5hOdEvgK4RznRye2
tPaOmLk43IF4yMllnrtpRa8a9VZKB3rulHuL/aC1Ac8ewqtXkqxCFUUSZamoyw5BFyA8u3sEIDwh
uCLYSSVymZar+Tgr+rS3oY750HuGEz85b0XuUE7mMVhX83IQukvWl1JZXhbxllGcUdlTi9yXK1kb
Mf2NA28Q5TZWkuhydkinwy+2gHCOmlPL1TysREL0cTI9m5lYDq2wSUgzlWGnlfNCz1yWW8aqQ4C0
jPaYQOcNUXHbSzBWYY+yHvshZmckocSXYD0xz8UadwEhYdHFaqKgHsIQLlmhJ4dejS5tDQSd6mj1
ZRzafbBETvNpMIhPQotMWmAzJlusImKjRCqZxklebabQrOHaQMLwegSmPv4wdz+ote71uV7sLDVU
X80Bt4Rf4+ecYT6jTfhiu6XtPnbqQP/h82A6TWbdhw0ozd5n8g2z5t9N3H+LBoAv4ZebuOBr/jw9
t1+/38R9+50/N3EOIbhgZxBQmQ4mwzfX/5/MLP4VYgvbghVAC87W2aj9tYcTfzAj4anGvWvh5JUo
t7/2cC4QAfZb+KzwjiI8Mv4JMgud1Y97ODaJFvN9l+40/mi2mO9GAVk6xvRORLNfoHw/EV5e1gGS
SZq480pdM0NK6bd1s9zkFa4AP49HX1UdgX9HpcMzJmWKPW/VnsJkKGKvLDPbT4Q6fZ17Wwlc/nJe
4exJZJpEiU7NIzn+k6m0bkBCHJzRiKzyxVCjTTsLe6GR5CR7wrWs27SfysuZIuaUp2C1WIwJaoP9
EZpSndEe6JCRn1KFwHOdHG103DYea217nPEMYKAwJDHQSncTHw5GcmvXF84KQQMnWv+hFJF5YBf4
KXUa5SnJC+UuakrbM6Gr7Fhwok2NY8qrGSNerzOjYCjG59GNvlhKxpfE9kF2qH429SXbCpHFwWIZ
CpnDZb9DpP9as6GAiyt6NOPMfTcW+StbvYGl26wcHSDI2cZ45yVOf9XT9fIGXT8nmnsXjsMVNDGM
r3THp2bVLhkqydqsHKmBJvkHpumFKEe3fkJ1hgNG6+cDy/knYdOu5ZUPEtM4Z0v2qbHknrSqbrFV
rh9x26sBnPoYRm09bAeVhF20kz634N1shJvQSW0vC235EbBpWvzVoiFrCam8em1kirIlE726jTqR
P1TLYD5g9it3cHEwsEShsUVjAn+6J7YiVovXbq1vVJsEu9BUDj2CyGfiCtu7GhEvI5hQh5pU55vJ
1eubfMIf5q6u51p9c00YZftkZu6d3SXVrppJvYPjzLIaZs5mpWG2F43tEkfk3udrrTTsHqb7CMrZ
wYSSANgt6oqzLsLhMwPetvSdRjXOvZ4bpyJpYuKgcKy6LLbEn+RxeWso4F7QR7RxAEb3Q5f3hJu7
YRkwo0WYzJPjpbhHgxipEF7duRG7tjGoIKJa0zyyTitG9ZaLsnW0q5OuzcMRjUWPm6dVLMaKU3I0
C1v9ZPLFg27pE59UIj0JsNZVRKy4oN3pPCzqETOa1V9UlMCehf10eVVKa1V2kJ+q8HURznSV6y0z
lghF7Cbnxdp6BLRQJ6fat+byv92633TrwGzQaf3P3TpcXOXXz33yefihyfft1/5a6zUWdKY9qFBI
s0DQx7L911pvEHjOUg6VAe3ut9fAX3xE/Q8VSS8gAJp137pyfy32pvoHizJvCMOiyUYL8J+lzr1T
+XEQ5IyCeajpatjd1ffTUEtf6CkisthXZaTh3k4ooJDWI7Ttn0h2e3EZX0N7ZckqMVD7GVhEb56X
7ADpG71B7965pG0fcLFlV/OQX44uyZWOYtN/aA0vVxWq7HQUPgvEzIpN6oVpFGpAWWzg5W+IbRAK
HTb0Sb4j9HONJTdQAbngwHWzjdY48MI0jkl1RPQiU2LeNY0awEp4GnNBpZ9UXlNXSF2t9MVWajXI
C348g/TrV6PTXtRj+6S5cY32cDS8FAXipgidB2Q9H1JDexkJbuJ366e8Sl6plQwAcIgA0L+eNSyM
iN35PnY99xu1bZ5ssAOYNJGLTApfryRjhOYL6+ioOBctUU6s9/0mJMPNH0W4ifoCaQ+AcxR0s2cj
vfDwMnSB2vCX5iOnwMyie74Cp0F1LwoyXIKw5adGSND+WJts6kPG4gPulX1qtvWWyKc8sBug9GNm
nid36AFHgfoyyT5NBIz7VZcdk4VTUOcG75leW89RlZ8F2WxwBTlkjvr5aJm8Y8qJeNCh4QMZNTnX
6grQuBM0F/ByB5Tdr0vZVEx5Wh34MxmquDyhvjI0+BzmisZ5EHcovPrN25rfYe4H+IfZFrohC6o6
6oSiiO4udMPssuFl5CO1JBll5a0NMdvwjI6DTpYDNF65e7tJYB26GDmbLqgd7gNQkedidHFpqeJu
ouXp6xl/FKp1HhM+VJRm5gUtIUG4NLA5oPHzwYEyvhlreRf1/KwqnFPSaRkeQ9K+HVl82KE9c5q4
sYa8gC5hWSfu51fcJWwzdT56PiUvIFS49iv/BLp9ZoOsEBfcu+AqMBb5RcFZ6jQmZLpTQ6ltOuFj
nnh6u94FkU7gG7it+onvi+kVaJ2gAqmAtHmD7eYHVYteeci5qynaPTfm7nQdbhWiIvDOwye7z2P+
Ee/Qi6FJBtlMyiwbyOQ0cLoYyN0tK1d+anhOHGcKDxMztquY3hNUje7JgfuD+50r7A7cTC5P49vJ
QHs00mzjR+useCkqUnKJamkOkDesjQk33SfCIzwsdA0/MP2vfSZFZGK0FAYG5rUtdl9902IzCwro
gkGjEso3RXF3dDtl3tFLx6DahAmkRRJnM4eHkp7gZTKlJZuqirus5F/OEwxqXvNqYKgsBNSDOX2L
KN+QjvCq5mNyHmNY/fLxMjAK71VtIEuXYDVKOwqKaqDtq2JSCkw8OyCz1XI3s1ndYAvkMczcCnUM
15Zxo3TIlJc2cdMsIdwCZd0I35g4N293+SpzenCJiR39ISiFuPG2COjyAEsu2ZHyBpB3OI/4GYYm
lc3CMiZGnm9zFTKXhEvXD5M0bXMbMUToNyNJ8c8QdpS9FfNVMaTQDxg0yJvCYPWykhd26FwCLSN0
jc8nDJ4eFWSTXxi98PVSCw9qO5SkZ6nzyZqtnTulLxiVJbOS4hd8o3zX80RghFb2kcVzWq2Wdgl6
UzAN5yaDD1teKp3g6NjTWXsLJk4sDtpK53M2dzgiOrbOpBGFGvnFZmfYvtOrRoBbjsRlvWsvJpvy
1iEWL5iTQt2r4JA2CgQwSimNxW3i0r1ZORGwnWOEFXieiL2vexYTnG9o6Bq+NsHIiQ9lhKcIq+we
Hih/OLnxbW3SBZDpt4d2TOyRpjHVttbHNxaBPkFrmWd9SZcdCCrXs2jE8tqZuJmamQkxjQEfMr0a
ICNhO2Cb82lwslf6aZyahSfg7VzbApp8VvBXDhrX1SztbGPOPVEHKN09IERYHHMlvNHp25A43RDr
ETavjcP/XQwgYkOLVLWE9cRU8mSrte1n5HkWs28t8qvGeShImgK1H98o03BypEzKmNzosCQzgVRK
3uVaYA+LukG3XKkISxVbArbWTyDkZbwOFYG9Ea7WKSRHtOmLnlZzQAdPWNgr9TsLfmuAErtOr5ao
Gw4YHLmEhhpGxDJGGuGJqdrg+a6gdDOYx+UBRiVn5oIjcEz9JesBli6i7Tb0RWsCoptGOdTh8Kz0
VfWFoI3PZkJggBcZc/bqNoYCnA1H20ochpinfV+S3y6KDAc9eKDG8OuUnOMiNUcliHgVBdiDwiv8
r6uyzQ18biewoq5zUQIIK/Y4m3vlCbDE6MdDNOaXyJoM3G9trtl+Q6BJcrJGwD2bSC9D5QMSRQY1
jn33XSl28206/itUPHUNqh62zMhVsMa8l5jlQtFXs2qHvZMstJvW+BUeDVvM0r2DJQGMpOepM5Pf
Gpd+lIu81VOI8WjJ0zeVxpR3m2exsAMUfT3steltseMZNJLsC8F7cHDr7PXX35J+wHcKpj+P5jD3
1cF6qT/RzNYpUhBrlMM+X7hBZCUgYEBvIiYswduR/t0E/GYTQLazSYPkP+8Crp677vkz4t2vff/D
4P7P3/xzI2DDgKSe16iyLfxT4Bu/3wjQu6Ge13FxvcXs/VfXx9T/cOWd/Fac4/GTXqs/uz6m9gcS
Mim84iZ/6xb9k67PTzcSR6AWkoJcDoZ9kRvtOykc1BtCLWulhq2Rv8ZVJHaKW4Ve4qq/Q5393ZF0
VaX95bAh0n56MEEcm+uscSSaR16h1p9qkOfeFMaD/911+Jsl4O+OxDF4iaK5Q+gn//133ykikmml
t1/ve9Lt/XBQr7uxoBHU/M5p8DcHgiWIXQe3AV/rvY5wpMOMcGqt90uXvWZ59gr+9jXlv//x9+Ew
ltwsSuvE+2vUMznrYmuugedMgrcHjoUupo8MOvF/cOq4V1EDSnsM2gu5yn1/6mq1wDPBNxrDor2c
VYaiYaW7l+1vKYg/rZcuQRfIgHWuE7I1l8fi+yM5Y+EqvZjQ7k3YQXhnfkDzKYktaB6pQH59BqVQ
6v8Lqbiz5cF4JfB+1ZHQvHeEKJpV8WxWNS0jWeJ0+KpSUAVyOvGsulHhJyZlp7bgFvv1gf/uDmEv
j10HAaiNFOfHb2m3FYTumGzHmvyo24GOkXRoZw8KFCjv14eSJ+yn72hJwCNvPoDl715AzOSGJamK
eq+ws9sXQw05TVfD218f5W+/0HdHoSP+/WVjXk0xAPNpj1TaOurt/DAWU3ko2//ZqfvuSO9O3ZQV
cTXSVNzH8GIDZH3PK+FH/n/j8ZLiqXenTmACo/eOKF06Bt7d9VDlLRgwdbGvR4qcWh15Zy81Os7V
LJYNXFukLKLVtg3umL3a4sNJc0NsjIbsnrGxbPz2lTPjRYwGv63K6bMTJ4XvpKFxIRwQFrJOJSvI
uIhWbbyqHUK223rtiCIjZMyran5kiUNyIDG7+QNvjL1DbPV5aYX+mDl6dUHyVvhpLIgVmxCP70Nn
zbyK7dpuSrmfM2e2I79bBjTFWTnDO0D5cdH3MfA+mr2bXnfK215Bd6yKdfrchKzyWm/z2W2No6Rm
dZxcBIx+7LigfBYzV19SokX9pOPzKFi6ngtQREE20rauAIhdw4HBiyR1YEgzwpCEvSFnZwyLQVC8
065o1HDepARdBApGS3bufLsVxIZH/lPPvoPQP5oNmRdHCdnlNq8AgAiQUphTQkKEKUoTFzZ7Cpbw
qKk0z92iSXauKEBU5ar+GMWjdZwjLf0UuVX+YE9ZssOeXH9E46Mj4OEv8pxJqz/Whcnc3A7HMPcg
vogeTAexjwgWTFw7Cvz7h25ygWcpdIsVsJufQk7NMU6b+toe0ld27EB/Ult/LNzklVlneNvba3Ux
yaUx7rrqCGmpyrZtrmYRz7bI4xs0RvOHdE5M6CZ823Askt0YsQWiDEACkOtDeUgiOd2G8JWcIqMm
wc6OyldbEdpJq1JO4pDjPNCViUbE222fs1c9rOwGLmObU8bEmK850NWg0F+gftTRnbuCDfUiFGfo
IEiEKhrkJKEVpyQd9GO1+tXa2jlWKF2tr7RhrEVgx8hO4rBWxAbtQuf6ZZWhAUaB314qSMAeXZrP
dzMS2lfdiasD3xEQR8/KqapuszeB4TxUuq3dGWXF/WO1qkXTxqSnTZhWPFbbYS7EZUuIB2GCOpeg
R3QHxlmvo4rOHlI8NbUFRLWWx85UVxjRJq+4dWFz2Rv1OHhWPtUxXCclGneDW6bPAj71VpQ8R7aD
eYXm15jvOvb6H5h+j08r2eQ7qyZOfksrAYVaWhvWullTNyPnBBMvGCv0TS+rkCH3K88WkgXyhZg9
dPej09cfo9S0jvCzWEPnig/bDopxsFWcUBJUofhaxpWwYnQUDRuZwxxikW5n+oFZm77qbizYYNvG
gQ+ibbWoWHB2dc0UxIUdn6KMOIIhkkgNhSs0GLz6BoNVDRk7AcexCG9TICtZENdz/LWs8QIxRRuR
3Mf2emlqw1PdgR81iqpoZUxhuVkntzxIm0YXonxolF71O8SFaM6+9pCog7ibb8tG3/fV+IKFPDkU
sFM3Awq4I69C5xwPPJRaycdStXy8Ii8SXFvGc266GHx1NBOPLpnyR4jF2wJ9PoTHue79YsqIGMiS
NIElmnNTsypC089rcmyGVFwbFJXbRuGpz4ac+TnJNLT9kHCvLatbMaEM1eR7tzb53nqRPoN7cq9p
eljPOUO2szH22qmKJu2ODqdxIPiJo7GgfhpEyFA9RyM5Ai5FpYPT0oNAJ677cpg+d0qbQxNHSurH
zI7Oms0s0FTzZ8tioWyBLPt2jBkLWhw8k7aFWOA0ZehZxgBRtcraS20aZCdUVlqDQHOY03MK0iVl
EdNx0tmYKwNGMe2eLSThMshXP8dWiQAvp/0qOpU7WKVZluTXRt0jGZoMl4uAcLtrZF1d6dURdz03
09TEAwoWDU0BvCcgsWIKCiILNm+rLoGKH/vM1eBis1qhf4O7qa7aKYNZekqtOdqOC8YzZ6KSINK2
t05pZG07M139sZJ9WxJHdvAXZ38ElnGPckZcrw7jrFl1Wt9UusknM5KVO1dbTOa8DRCqRKHv2mV5
IIC6OHcDa48SsXpMgoc+G1HJjWiu0DbRRInKEVdQqKsvQhv646gQkZdVA6FowHw7Wx13KaqbXSEi
5Qq59LWBQ/9JSdPuegH0ehWm62OiGtMj4Bs3cImH2ZkrPJxVJOumjJviugYTepNnqDbbIsCqRY8+
jHyzT+55nh/aUY32oFTpk0dF49PHqq9NAAk5r0XkQ7b5QizLQAuKlx7IS/NCSeL8oSlZeRGpiQe1
cLW7RNVquoZc0vrbIovpkmYn12DL3muCw0SwCu/t0h+XfB4wsFpmuwODQP54XKMkAQ2GHSbPWcxS
NnkEe+qpKHwtUrMLMqBV4bm1Q3RThl43WEYmvh60zKTwDHq9qmeFU1N4daHfd4VeHCb8/oeKnhyk
VXdoDkbeDcGgFYueByASK3wOywQCnuQqNW9Z/wo6wB8afSIFUUWRqOzMZESrPEG1HGdPL8LRBbEz
VNCZ7AG4uE8t3g6IikTrvHZLGjNpRVP5tbbsCK9t5FzMrkPXCGAaHSSjgbnWfOsruU5GVnDf9kzu
bSfy2tQcxODjPEk3PRhnQnSNAS85a0/3CYpl1vu57fQX9VpzJTVbhrWjl0k88H0jHNs0C5JafTHd
YV8j3CIRFKwUFrAYhCjPFwvHeGb4qVxB2FQk96GgsUuDZcdzqjNZ4X8ydc/7vd7QDp+b8DmLaQM6
E21SXa1ojjqN9sRQnB4h72jNmyMaWaWpA34SubGeeFyjz1HuaFDyZTMud5hxqVOhHszOdpQNXflX
JypY40ybJRwkxuCzYzLhkJkitwJyqdt9Nkzowd3FGne/LrLlcPDHgpTxCft/Fbs1pijNfFdlw46N
CIRV833DSzSw9Wm86qMBexbmFFY6ysvTYig4R/WV2iITbXXkobeOvVFEiaeJ3yHrfyQYsH+Sn4cu
gUb4gNzwvt+skf/Hc8DnAb/zgGDg2Gasq5OTPJf58CFceNX9+gz8VJEzOlXZHqJvoSYX750vnTla
BSBuhOMNhVgZDiEvKV7JZRlXR7BKvzO4vwPVv31DfFTYIVxyH/Cgvds9lS1FDvZeAt3B4imE2LPW
J12J8Sdti+deqcQm62JqQsudbt5ePXRBNXsX65O2jSHFEbGUW8/QYkGadbzbf30+jJ/2XZwQC++g
BbxYpZv0bouCK7BSXAI893FRmIdh7IpXnAQ8V1OPcp0oVpOCO8+RQXqIePoTYUhsaJkH8fhRbCd8
CcqZEnsE2vRFZ/fZJXVZ+PkyWEdTT8RliQHoMrMRpPWQtEF0DZjviXNPdsbM5nVjkt51a5iq+QzH
Yx09wR87V9GcMwBJXsIhVPIHNUnST29vxrKkbQmqSwZP/fpcaPJa/LDTleeCqlKVwicSA9/ZoqJh
ClPeYIg07ZSaW+kqr5/TyJ8M86khzXWvUDoCO4QnarV01qO2/41p+qe9tkA/5ILqUbkk3KbvPkFP
3g84GS0hjnpJdpYSQXI1p98tAz91LTgKzQq4GY60Zr+/5oCVRrDaVbIna4+hYMTiVdZ27zc6QDzP
hljqLSkbiBg159Ovz7H+8zmmTIGi4eI705h5vbvfFi3DcZFP8d7spijc5+TrXSphKD6hn7aOcLWs
5VoolngozeUBMWXzqtTWhPNmJFwLBX6M4DZq8bo34OwMBuKMEU0za/fU4OIyrcruSwN3tL9Qwo7N
69un/7dn/ZueNbeiXCn/c8/68WvX/6+HpGVXnTx/r1P88zf/Eq84KFToltGZ40HDOMZf+qd4xdX/
QGxIu4Qu4TulIgoVuqCsojQPmcCgfPmvnrXh/IHZ3UYNSP/SfMs7+gfhnlBc3q8A9LgQKkKo0jSQ
Ue+fjGgxp7xMo/iiK5zhWLkls71Sr7ujsYAtJRceQXI2GNqHTlO8pcBqriKXDXJVm/ZZ3CrpJgwH
pma9aG+ZxsFDNnLxkLh9vouFEjG5GQSv1NlqtgMmBELRqC8uOgie7ZY+W7j6QMYnG/2tlVtoOUBE
jAKhhFVj3schcyjB/ZLftURsRgr3/7F3JruRY1kS/SIWODxOW59nyV2zNkRIEcF5ehwfv74PvTKB
zAa6umpfm0IClYoMSe70a/eaHQtfjKLxg0VvywDLS/LuD5DaGnC/CxE06gUezLTkW1KbuNfAskMp
vYZDaRx4I6GtxqLhnRVAYeWyHNQ3W9XxiS8xqpXU3X5bldo1DqqkWRFQGHbSqsvzNCjY5I2lv01S
9sfE0tVzUClro2QTPZp+49QLoPEzCbpIm7WZY/ePjSTbUI7RYzocVP4URjZFdNZYLROurytXr42j
b8QvZYoBO/Ta/uwJtfForFhqIM7hPc4FbBTMtE9plbiPQWlY14CDANd7Rwpjg1uQ7xhGIXjpLmA6
dntB0qg3Fg6gxBV/53RlNa1Y8rTJF6bmuotgtN66lF0+4YmTK5S5hYT2EHoTJFNT6SJb4e0wl8Im
zMRMN4lTq8k+WDTQdReeM7ULvJE7H2Lci2DkxdIUT8Za6+FQi2SeOmVT2Pw+7O40ecjkRP/Almev
Or6XNWLrNQBCe/AH+aJSRdu30otPSRb5gAJwiUR50cpOOWkarb2iGDy8NaKwilXvltnZS/L6khUR
tfJ+Bh6cUb90HsKucR5TSwtWWuT2H6QrzCuYz2QNBXk8UTT9qzWpCKL2GVB0UMfhI+Dc5jDSQSUT
B7ukZ4ynzEmDBXfVgAY4LbgaVvseNiUeztZN9xGd9uFxaDFVXEewfPUPGYbNJ3GX7nec9MbVASlN
kqq2nlJaQSANFd3JbpraWbZ9zo9sqHJ57kz9cxgptdcqU1ubg/6LpPunOwww/XO7qPc9ImCRxZb+
QJ2Q0eANUd6Hx6T8PGlduUxYua2dOsi6JVn6Lt/porOTTeCUNCiCqxw+o3DCUmIo3L/rRkNq0Fgl
DaZ7Za5tt6VNo6B+8crqCm2pR/oJHwcqBlh8cO0r83GwjY+p8T9wTiwkkeg1xa/sv32cAv5SuFEt
t33DK0YPTefNDrznMKh+6WYXqLlnp1pLoAg7O+Pc8BBlAmiOj8GCaLy5Azdk3PgT4PZYTXShDv7I
9njYAyfPm5l/GY3LLmQ7em78ZgrxEIwyXHay+shjWE432SqXv1KzSbQueOxhBy5knZKf6i3Mn70z
4rr1t0pY0T5Np76+sony8l0XGDnprE4lx9TCFsMqAKFCxUBpnxsba65rldGeMhhjXVcYoVEq2gqp
ELzYfb8izYA2aqcjBcF4RNom2qZeFiL+2Jjh42Jk09WwKQRLm3DM0ncoY4rrfj0cvdjFKtEiRtmF
dQuvEaxbZGJfozJP13jEsC4MEVoH8xkI+bw+JKkFbq/rqm0vGkxpRh6eh94e+Clg3nmuaSjb260n
z6Peaq9DuIq67Eg3e7jKMaNlCzAi3nok4c+C7uio8d0MRmcFcNvcU2UzrW3+rWNm6+XZyKw6XthC
I8Jb0zqnr+yOS+uevZjH00rWV1St9cz9LFo6DtYsIioRGKdqUttAC0oXxZemH1NC7asY3QELHCwf
HhKfWeoxLfddNC7wPssNbT8oxam/ZFOofhNywaHcU5oS2SFUeTeuuu0YNN8ioLvRwXjDAtgpjFVp
6t0evgD88DKQoCq6Tz5cnM3QZv2umGqCmfSZafAyq2GA0Ayk5dss+MRZY+hqTlTo+Zs+NJ5CADY7
uCD6MdbdaikLL9lmLjv9aJK7pvL0BexUD3JwqZb0ZvQ7Klz0va5cA+tLGu2dQVDcBiuCSOmA96SU
3qapdPPU0dN9HCnDXo9mdqOaAH5WE7rbAeqBtwhkPAeIunKhcKcs8orn70CQbYW3ot7XvkEXaoJr
aaWP1qM0yqVWjiaodd6m56hi/MSy5C3TjJWbmkCZE5w2qOatg83Q1ccxz+u1jnGe0LekpiCvhnWS
ZdWptagXnjoR7eXkf3lA0fehLX/WfthxtRi+kDkdO0llrLuOjxxDRnsclCGVX9lcYeFdeiO4tU1h
XazcxEvX9faVPWi+kVpzCVVy6/RGuw5R8jjycz2QSDJ5R2aX0M2nzeikOOvHOLQBRvSNs7HJhcER
90Ow1n3XssMe1YtIlVrArR7Ere7i0DlMSau6s2r0sFybfHpK6GejhVTSLQBkCwFLW187hTfp2DcB
uzzlse5r70NjjlQPAV+aVrHNppgka+FOC/bQWSbWbmsYalfZ8ZPtyhkQ10+MMw1Nzpc+NSjoLW0D
hyJ7Egxwhsx/qdIY7QV5wPrBBJUYrbDpTG9W1Y1vOcUIB7dNjGNXF822Vtpwb5YanaWh0v6gO+nA
4z/Djjv2UbtTuT6tDUh0uxnG/0MlHjUYWO0OPX1k3CpNN795U8faWM/x8Vn2Ghf0sFHksH7WbFO2
TTvYj43y6s3g1YDfZctKLC94xOJz4wdE/GDcRHoYvlKbXNETkOMIqlJWLn4OQjWWk+gxoNodhQcd
heN8wuEOIHZtHWVFjITjlaxmM5nqsELy6aVTHsDn28JTEWHaxmWHSg4tOijY+UQ3uWN1e53K1CN1
vdpeq2uH4S+YrzU6ZJkHw9ZQUOVcmb1JbbpJSs+f5CqyOmeVhrX+0dgJ4YAx0ZOrR5DklvjJ0CwI
pMTLEszDtqGSbiMBO+0mI6KEhpKhXl/QlOJiupOqfcvQdKug8Y0TJRK5zblnVO+TFYuN09hbqw0I
VcRT25FwwYfL18fBsoE0vqOWhFgHAOtwbY1aTh35LG+ZgmowqkAh9iIW+lsQcPQJK6o2lyFssXRT
KUEkpMH6hcpv23ce3tPa4od0LH3jS8yhR4UDPCeEQtkKARJdUaksU+DEbZco7hu2uWw5alWgl6L8
oeAugHMsjbp1a0dnVF218Ye8PQ2da++dyKOmuMCucG2oo4ILaxfZFpudXPv80g5eR4pxlaEKf44E
uT995u4XvObuMRDUfwGm791TozOerTC0hf4ZUy+LSeW+Y5lu3lQwK9vQFptMgyBjjra+lyb4miU0
B+djJuwPrB0r1u8sNPksMf1zlij1y9TYDrd1bPzgeRpjnNOMtaqF804rSqO4zeRusNHqOPJWrQ72
Bceu3ADhs26dUVprsHdkFZWbrlMR+1t/zLu1Pfb9kRaR4QLUYbg1LrE8kD4jfk4qf8u0in4oiI3k
m8tSbIy4bCnWMiq5rkmrguwinwfcq15rHG82Js7unwDUx1PVxNPFq6fqiQIg1+bwCTi/bI3mmR6U
7D009Cxc2SrxD6yyg0PMvfMAebHeQPutjzr1B1eLHONy0Ktyb046/wG87QtWd9VaFa7B/K87a9sO
uiXL5Cjl0ZwXG/YV9jbJtGI/6szjFbDy51Jm1kYjPNvSQvIQhxLCYZL3l4SaliMPiX7FG5A3i9ub
DC08+ayUauFIq6t1micOh2KDWFjaq5pC84b3uhTJEZBWsM5yvWaIarPvKHVswlrQuNdx3Tm/+7Yc
fjr5GHlLcIzjuTfN0SIjI8rNf3cA/05nsYm8tv7VDuAhzX4wtv1N/v/xRX/If4gysDZ57bF6Zhl6
J8r8If8NHW4MazcXYwY40Ltt58+gojv/P/OqCPwH68s/7GqWBZ7GBkyDVdGcv+4/A83M3Jy/Lv+w
qJGMoUqXIlxMZMb/Xv5JnN7F6Bj1QbTauKLgBdNA326svPWudsR6eG9zc8Kh3USTvU6l02n0CpNN
zoh2sBYYMSSQWsbJHwdbjdsucWbE59EL/Th55A4mP/t78nnCIBEZYXZs51w0ph2J8T2O84M556YZ
IHpqGZLilNxj1cWcsOY9MoetlbENBxz34RQRxc7vsez+HtH2dCSFbGty2/09w61M4tzuHOxO7hlv
y+mLAnpT5cU/+laL3jsaQvMdpVtpuKmaLnVOra3TFb8BwayLJRN1zPiaDzEHq0sWCcdzN15NII4e
tYZvl0C2JAtX4PIIdm3jWHJcQ9fSASwX+Ddod6lNaHj2Ku3Y7148cwq6YRFk/Dz5mFJA0GrCb6Q4
UcSUuVA+GBj69zBkpL7XaRTbTJpp0dictgpqc9Il1ZmTRu1ThwyG8wrJmUZ5X8z2C2+qhbGyk4o6
dab3EM+2DCszclOWtV05JT9pWFVzB32bh8peUa4SC4oCwVFtzXQM5AUuorbXh0I+6olHMZ+vWYuh
FzyXm6jYR3QfbEO7Mp+YZZgLrEYHJG4Uw5XaLXvj+JX64VbIqiHrMszSKlrFZVNvei9PT8SBrG3Z
iHxflm23JWYJl5YqH4e8TtbtvX5cuhRTbPK8oJDIicIH1mRcBqM7BDRMV6JlasPGUe6ayQ+uMh/y
N3qp24osZYaLQ+urhyxxXqizCq8cAJvHAXVxBX/af0S5N65CnxSArKLxyuuh3Ki+jF+zZuQKapbq
jVW+RvVF15Hrd81gNRixe/Fx/b7iFbDgxDjagzYGY7toaHbdkICyTgH9i1st0eJpZbgyxVpXezbw
g8x5gUxSPDUz6mWRB1E4AsOtLRp1cumOy1JN076QrAgXftvQVt8V7X4YJ7mlmSF8tarSOvqTi8fG
YDx4pg6hYZqpZJDQhSWz38YgmLosdyJBExKmW1PQM0EmNu1HGU8Epgb7OandVZN0AhOMNbonQ1V0
+NH0wxk9kF3/0IWheTTGsdwJgXJrE8XvuqMu9xplTvGK4b3Y0lRSfZHjfDNAqyxbyFMHftNgHCqS
+grJdJ443F4DaHOHQoySrIE1vXfWBD3QH0bzOykhm2hT4SaLurbcw5CBWxRJ9av362BH8rpeRxQI
8ht0kyc/9bp3ah+zN0Wn4Js1tLFN5sFL32qtoMIp5R3maK3ckvk31wQ1202MzWIoE0Qf9lrcTJZ6
KID0HIax8WkVVWlSLfha7cFIYtgU9kTNHBSw+JFKxPEwatUol2VIPqk3OPVEtjeinFuNDIxWq3U5
dNWSgizCRdlMHuRTdhlq+rKym+FQ6j7ZVWWbr8LVrAe2Yi/xJJ8SULQ/R7tkgtF9WjAX9gA2jMDP
lDy7nHWPObzlk96yDqHWJoBoHO5x97tnNciat0bXPEHvz1ZYfcpvpwPqUYF/eLQCf/rCb8RV0NAy
5st8qI5hEoqXMBI2OYTMFIshrykLmPzwLEyj+2htbUVDXsjlLNeXVI3D7UtGeWAdFP5o6JH9lQ0m
R+a+PrGzGeYZbVwh1613k5ANShkvJKTdQZ3McWYWpg6DetuaGu84EcHxrEdtI0tDgzmke+U1TVhx
LavWoLS1G41L38Q4P7JgBlJH+ZCMOzNqx1s5CIxQaThYT3Spel8wYDQ6sOKOqDIkdp/VcaTom8OK
hT/R/tHZXF9JuUlqE1uD51ynW+NjaADyBygUIV0GoZ/JKxvPykCbuiFHowWz+0DDk41bpQGtUuZe
z3VcGUBQDbO8NHFDnBziE9aG8bvmM+9mDI7aU8vWLPlDQzJwQbO308rftrUYT1o788pgN34TfrB/
l5r4Ce/DPBkuzUEkaHK1yPxkTSAeWx9gv/PACHb2rTQ9RXrpJAQkvyPdxEKkZyV7kvGl1OUTKBK4
O2hvMv7wmWn6iDYxN4OtHk/+tTZkyXRrRhZxoqHZhVp0yWjm3sAUDFZEqY03er7FFmeKvuH9/p0Q
TcKwgPckqrPyOXQNniCRrLAspDm1X4GdnW1MXUuby+u5LPB4aMOoYjL8TrsFhVBeeeXmJOn94ZHE
NesCeCOUuFdGxtgjvNfQYfnO3xBUO72KKOeKPE+W2vljHmj2htbDck/BIBIc3NcKJR+fNPBcC1wv
5balK3glurH9wBkUrTIP50Tvpp9tY3zhB0yXbIinUz/kwC6dhkYz4eHfKEAsrcacJbSyxua3YfXp
umOp+ZTojg2ycpDrMkSnCQ9fgiW14Cnujebi6G67HXwIU6qJ5UNPHYCxTrBmgJwxc2+pyUjbD91R
xiKCjDR80RSbfdY00m7CwUt/5p6LwoEWt+Cx9xl52S+Zxs2eVKQLdCQlpWfzT3Rc+iCvbWfXxy3L
IjhgKyqQzQ0V7MaJ2Hzy7SceXewZ9pHWLrSFgHB/TdrMOphNEm+qNqn3HQMJedHM31mibDbuyOQF
QsrectztjzTMZbyPxoqeKoOFpE4OaDlSnbi23Kb4bu0BWJzInuMuNJadipzd0Fv1MrbpDMX/XYgc
bV755qY07O9ar67QqBgdwEmwop+2PKK54VjauxFDIqVtOt7E6cSEQf/wGmTcxa3k1dUbSrnr7TTk
HSnBFEdMVNxwmKeHpJzCTSErb1FDSQTPVAD8iaJDM2XhJhDZ2co17eZzs4e90/k7eHHsESzcoGnx
qCSo5DYHUIMLs1g6mbr6fWes0jjFddhWuGCnqsAfUhJYo1t2W0A/4yHsWg9aO5qslDX3ueW+vpuS
oMRCYvyqKYpeo+/yRUx5IRskhFkfpBGfB1Z3HUwDBFqu6rWr8fIrqS1zxr64Olrv8WE8RRyROoN4
a9Xtx1z6u6QINRJrk3fIW3XNYvuTeuKX/2qpf0dLoW/+9T11n2UxB/jmr6fUP77oDy3luf+YqxM4
ylDnw1101it/aCnfgM5JlRJhHrpe5lP7X+M/M7gTUAwAAf4SAkPOn3rK+YePB2R2q7PzgdJi/ifx
H+6yf9dThH4g5PsQACjmYG3uz9afvyQ+YicGqmswIIUMoRztByyvdqKcY1W7WgMM0BA8ExP/qUpr
EH0tLeYBC0zPZmBtIJbsJOR+fINlxn50cgXin4MN5jjWDNfOErnYwqhU2jWlR/OtLoRjE3CnznlJ
k1o6LKxOiw8G/GeciSELbPo8J0HopHNOfoLFd9EMEscbiR6BXd7BHJy5liT1m4wRod4yODT0cPQL
4Wn1l58o99sDTLNqPT9ch5OOCInm1ril8uiUWgG7D4xT52ABtRjqjjaImC03ryHEx9eThuUEED/h
SVPXMdLbiwzN/JZj1i3W7ljSM5dg8rcXha2HHgNSdcvsCitrONRrYyrVLhwc/2BWMj4akbcdY1Nq
c1qz3NgFXnmziVJ+hLjU2DDarHRE65osDBnGwHhkT4Y5kg6NxGfYq+rBLpW/KibLeuzMRO77UolV
ZJiPWIGblY0Pb62p2FmMpOsfLVfLLiQyb7ZO+6CdZTJbVKMbfTtw3baCxpMl8ALIXnmerbCn17de
Wq45o+DDc9M14jJEBZyctpu6kz6wwirLS1DJ/HfSO6iJlENvY8ceXhq3uZGx+baDgFQEFo6lo0Vg
Yhr+B5jdmy8gBEh4i+x37EM/lAQhKPl4SmRj3azRH49W5fLp3ej1tUqjr8SkUMwunYFD1njkbKS4
78zYHjMQC1A9Gve/MX/KZJovizRrLqaVRsuWn8h89bhK+rgu2kjOK+Z9+pJyPOIjDN+fAii+qtj6
rw1qQlbYrcOV3gfhM23u3FQyj/X1Mik4NC+LJIEuWVXG0SJbfFB6RwfHOHCpFdnVJYMC1GcM/Jsb
29UVd1y/mJA6waIKp+kiNKtdJlWvgccfyy2nz+LGjdGEAdu1JzMVYk4ILOAAsSPszeZcjtb00UvX
jtcaOYWDmPfNlUizemFZvVjVKW0yXRIg8evuSMytOeiRc6YBsnYXLCVQ7CWbby8ZtR0ABozRDa9B
3j0qX3QBFUAcvV81LdsARb95sdI3vM5FP4ML6uJdDV3yGFmSjyfKB0iYrPxM3AymvnXhVd9N5br7
PClflRUVrK6bz9wFCz13bJEyiE2OZwOF7fNvSv3UuKcuSgOFO3X6G45QzMbKD3bV0GvngQjjOuiq
cJXo4oNHYPNg4o7YaI0swQ2E9l7VjXgVjjYsx8TlfBxIHeQ3n9CJdnCDyF4EsfkBMrBes5qQnMJq
E5I1DDfMDwS8F9AGqFGJL0XQxNg0fW56IgfPlAAIHSrW+4z0S8HUfwM7lV0rzw65WfNj5kxl7X3f
Ga+0e0/booXUWdEItgWE75yF7A8kRIa9VKAR0NnNwGGpfWWmw1lG0fplEEYEVpsPZzHoT0WiUY61
Yhg2k0cVDFZ+YjS65NL7KuvSJt0y+c+JpfA/mQUnQxi7j+D64gc7an4UogKZzEF1MbG6dqrepvdd
6u1ng2V4q8Pto2UhM49hVuQbndYR0klhtuxzkRF6j7JHtgQTSx4ecxlLonLe9HxOHbhDiKLBsu94
DcZqVJ90rUJS5h5VP9WSSADdz1g4ivyhzCNBH4OfddVjaAfG3qqGqNlWpnCZnG1uG82UlHu2FPSF
x0Wbrcqq8G9t4v6uSn1Yhia5nYH5k6yGZ5BB4L6CKHSKvAzIWefdSHCew3+H88LRNsYUTRvPbHMS
T/XIW7yoEN3da5RxwBFUWhctEQUdu61XavV3qlEwt4gwxBBsjwbTeUilh7Gb2LyH/9ZLptMopHMd
+Zh+smTAWyQdeOntZdvb740Ry0M05QpdOFn2V8urP14aXR1GS0MLXCSpU7m3OtM8c8VeSx645XqH
WgUwrvB2h7ugbvdgYEMMAl325Gn0kiwkzJdtRNwaNOc0RB8V5Jt1b4ocj0oY/fBmiymRBAkWJVSt
OIWWNOIF63kX6/VAlUJfebw/rL6nk2acoMbyaP+N/ZTIrSXM4dz2TfOoRhPcDfBBzt5wFiqWI3Zn
gVMep+5ND6z6Ry31+INPYm6WTL3nhrXGQ9Db/m+d0tQJUFVg3ejY6t80OI2XXAcgYjjZL2p/nZ82
ffOgSyOrpmbE7rN16It4b5f9nrsFNm6mBrUiA+PlCz/gp8hhIPJeu17ZWE+a7KfGfSw45MDKZkhO
PFwDbi2vfI7462pk3u6UMjUuByQbCMwYNAUA7xy/0zj2BQ+jMHj12bBxmq11XpUq0h5jAEPVwqTy
7iPhCnShF4iFUB+0wl2aPqZ3v6vTn6Kt01s1FE+QFsimEYEP9qmBJMTqypuV9Fj9MNXASJYIUk8t
TM517IPo5ThX3CA+7EENv7hL1Z+eEP0Gc7kvCTn4oU9JutIO0kj6x8LmecP2UGrfQlckFqhiJL6i
ec2ucxW3J1cbqk8/HAuPk3fQ7SujRc0ncVKrhe/myRuQSCEWXmm1N/auFHtro1VfAANne95zcbLF
XMMZTQmuR/zNiRK6Uv8I/DYQ6yLWU5gQJCq2XSbiG4dkfVtbyoUo0oHYqz2RwMmLEhTHbLm3UtM9
qaGtsSS1DsA+CMGqh5NC/aYD7KKalqMnxbrW7XrpJNBKWJP7kMOb6mp0TQtx2/ZPUM0QI25QtqvR
Tap94wq64jgUyw+MIK2LYaOjFouu7/IdGlBFqlDg+lxUST39ojDLOgf6UK0s0/nCLO+/uFGR/yjx
JG0gq2Am4BEfUGcM7ExbDn7KE9EGdraP6Rw5+5NwP/HGZbsqqugINkMbaAm8dOvLHWR0bAPDevVb
Sj4XXm6NgnKeHnQuUZpd6I38Yzp1qbejhEbdvDSo++VoRsaP3odEVBV29YlDpr3afsu+NhlN/aOb
mBvXoT50vJb0BsMLd7Offk1V6zrInVA7eGUSvMd+W7wgZp1mYxXReOyaTm37hJa81SRZJeWule6x
RjzqXMjf68LFd9CvyigHEOdpMO2oMypU619F6+vASkTIjjd3Yb75lfngZMyGnoEPA6oTWwpb9uLL
B2GORa6swtlY62JUygfBcU+zDEwfTaxvoTCFl6Y1p/XArn5vJsDWJ2G3q6myMmxFendi47V2OowC
UWJ2csnWxv1FiQ/nvb4poP45rXwJbTf4ckQZUEQHRWfBbxMKSCVFd47MEaodY1ZDp5wNTRg/aSIW
YSqSnxVLw2JB0I5ONy3KeLRYw7kM6ugtC0YkPrcJdkNwcKQRdCdZjT7Jj9Txjhxg/WWoMyNSpH3w
plxrEOV1B3fAh45Es3T6Th4Nx0AUDLSEcFlog3VVmc66pmzumGoGayJHGCe+w+xEVUn8HUxxu8FN
Q+9RVVMC7lvFvs5C6Pzp9FYpViVLCo3lj9Cq3UcLFMovQ4/lP6vx/us1/v+8xvRQYMv9v73GL/Di
/6qLrX9+wR+6mDseqDtCLjgl7h5jLPZ/3hgN8Q/d0U2WIeBS/yl+/8LHMwysv+5fDozz3RGYnk7D
/SyiTfs/EcR37sBfwgVIbk6eWEHmUyZ60vpfxndGNo4vylNnv5i0KV0C41FqkzuD/4olydqnIweB
ZR+G1bGxRfPTUCQARiTVo6oL7O0swY9mVY6PSUebbU4N9C0Cvf6Y42LRIX1lI4D7FGqQ3vXApHJH
BMNNcxUd7svO78nXv0TB6OPI6UiT4YUYet4fehZoD34uehJi5DTAjplsQ73faCkVd7sBIPHY70O3
ozJxH7CgSw6+69X9E+ZaXTxplBebQJoiU6zDBEF95GcpLNJ6wUh3oD/X8lS6g1fZDJkLxaTam8xF
vsRtFV+CPI+2tWtOFt3vTvBc5Gb0PLWlxfvOoFxw6rQv3IHxsweqjg17HiXXkRG4HTkZTHYcbqIS
BhEFNzF225zQYTwbCRw9sZZ+SbYOi944uYRpk5C6PfJlU8p1hile7+uj6U55YSDVvPFC6rbX9uNQ
DnR1pVqonjT8ihPMtzBN5m1ehWNpiykr6tip6UwDO4peGWAyUOH0f443toaxPFd8jGHRXuS2aeb9
f58I/xYf2ZwDSv/qiXAGY1iCDf/rU+GPL/pzW8ZDwcdv4Jp/mAj+XJWBR56v/lyveeP/+TAgb2CQ
hNJN0pjm38nIDs8EQYUb/wKtUcQV/pNnApVLf1+S6T6OFwPMC1kjbEU8tv6+JJOGA8sA1XCYeJ/h
ocpCByC9SAJyiJUj+g89zN2LZtvlLa5UcZkGUOK1l+vGsgDOuDbguoExZm29lny6PkRemwA90Rjn
fFduRz+2DuSXucX2XG1W3PkIVJWBT/V1kA4uWsmOjn02lCeaUA3KvczsRAIxfWSx421z3Y+2gRu4
W7YIosVkibl89grc27r3qbCcc9eogNtbA9XB6sDOYxnwzCM7reEzzR189yOQ96UVdQR3NbPd9UUZ
3MpakHjEljbuO/0Lp3L5w00zrqqpFVgLOXog8cQQrofZ0cyjxHkYgtEL14bjZ/oygj+/x6stdqk0
te/5OPibGkHC4byX90A3JKVlZlADj6yMR9qYuy2mUHkTyGr8xbCwFxxIFRMurQuJTgNEYidUdxOh
RWWq0LmEehEem2rSvguHkBfX6NK8aFNdoNnqd1Ye9U1qQPBpA3dfoqptn3y/pXYCb5n8Yk0evkst
Tf1lZ3NZcEipMgmWOttHYANDzS9tYc4DQ2T7KSJkHiXq+1RhiuGNT0dcUV2RfWXzBOLPs4gxTyXT
PJ/EOhuWKbQPqWyrA8z/6VgF5DeQFvP9xGvMlXRixYNddabk98n4498nIX5KHX/aPB+ZjZUdleEG
QEVyh290nqaaebAy5hErmYctsq/Zc1mI6C1tY8xeQ1GxQlFjWa5zyKjGSruPcNF9nIvnya6eZ7zu
Pu5199FPGX2wiSbYERmN881ymIfEbLKAK9j+OBAZmKdITAYFUeasmbZVEhWPscNxX9TKPYWynFb2
pIhboxfPFaSRk3kfWNP78FreB1l7nmkBlzDe+l0ovrhkcWNOK9vZuvMkDAUl303VFLqEJ5iUCfUY
lym3/StFJdFyYKCu5sk6YsR2pH2hdqT/LuYJXJ9n8eE+lvfzhC7mWX26j+3JPMH78yyv3cf64D7i
+/O0X98H/2jWAP1dDvQqNT5aKp8KWgPqDm1U1J9S6dCvMer9SKWFx6BXrbo1g5t5O2Gl3Jsl1Xm7
2GTDgJ8VaRLcZQpGfuvV6vXoWOuR+OockIULQ/CiXbpyQueEhQdwHO1DuSUyCAap/zzdxZG6CyVx
F03VrJ+8WUlRGOq/cAr80maV5bBNhODhqF92RYkGrwmjLNbwVov35C7TsrtkA0kgP9q7kFOzpvNm
dZffhV47az4G/XZVtfJqNIwddEXxfobgUbMrRy96s3LMZw05zWpyFFU8ozc7kBNozbQ03IOtw9me
7lKUCpZkSx6AJxouB3epzaq1n/WrOSvZ8i5qtbvAFbPWNWfVO836t79LYf8ui+FvZJQNoZUxUyCb
6dplELmL6WDW1QAnkNj1XW5Ps/IO7iLcm/V4f5fmYlbpJO8R7Pas3cWs4su7oG9mba9mlZ+kEyH+
8i7+/XkPoM0bATgAw6963hLgqDXO1n11QLqWNYJlqzm5xdblIWLDma48dpnQU4ZgHwFpMZf0+T6F
aVOtvNQfjtJhvMkzPPNO4R5Epag9LQpYvHRJ42piREtSHpulIWoYpvlzWNjdtpEEBWJLUCDVyFi6
FLUrrGBtjwLSx+nnRKg/5+5B+KC0OmBBJfB48A1e8jDO7I7uKLLaKaiAl2w/3yaNneFOuaJI9XdP
pQ5HhkhaBg7hrlNN8hCMgcZFJXEwnwzBZjIyecP0qd8cww3/h70z2Y7cyLbsr9QPIBf6pobeN3T2
wSA5waIYIvrG0JkBX1/bKKmeFKFUvJxnDlLKjCDdHQ6YXbv3nH1uWRbVPgiL5Tgl8slz6/peYJ5G
LUtSDG66PH6SnV8/M28OiSoLaknoVlI8kUVB1dpLHqsQg/GtCQHmFgiS2PVJxZw5K9zrCGM9jGZY
sbnXEcZssdtBU56h3NrRuBNhIPKN01fVdR6ZvF2/oG/YM9VZ9WRj86hHiEmsrvevhMXbX9RgXzyv
jpdVtwzxgxt2/hE9jXxMRiPkxDnF6a8OorQbKDJjtR8M0VzNyFxIGGnbB+C2wTHhg7+3mWDSNHfe
Xg1i3KlYwO10cwUjQhjLIbEw6OWYk1bKGsatQMm9LQaP9WjMrOVsDyibSNZtgKPkt9heu5UnbOcm
bsreRfxUxPeSAztaC/sCQipp1jV9D561sblNliDb6+v52DXKYvCF44PlItjn5BDfFMU0OVubALC7
MlrSb/TEskOmDHzqHWhUXscc5tO8BPOdXXRyH81RdJzo7Tx1cUOejeVNB54nMhVwtdPYagPcddh6
UZws84zfMK8xzIxOJO4kbN6MdDWyxeABWNvUy8xDLkr3Ziyq+AJ2Xx37IsjQqtjyGsPUu9lk0bvV
O3az8npPPGdjmWI1i4tj3xjtvnZSWK7ZxFLD7ZeySbul463hZwaYHfPiNo4oQZg6IDBcVPAC9iC4
see62g7MYuhsRiSvM9aXQHy6zrabh3qOnjOC4+LtlIL3Pote6IE4UsOUvriMXjIjLh48CznArd8h
pDkw9RTwVn2/8NZQ8oV5ZftDxj4WgQ5mHEAiDJRwGDjWFcEW80Mnko2KnHDGLJnd5Ysqw+2CKic/
D59qzFELM73W8bI3+1OvOX+m9HRy6RKSE5iuEeBjoV0jzgf1VmaOJ25UuytODJN8gn/oaLxQ7Kqv
nGHq93xSNu2tMXi0dGiQID2IXhIZpzpQKBB9i/CQPl9A2pBP6hDLHpmj6Vs++C+BjiVy0DBiPtFh
Rb03vgQk4B38ICxvhUWwglsZV3wltkZHQCUpBvHhLNriiegba4AUjCIQ9mSwHZp5uHM8YN/rEV8O
vb0uSsBK0UraVou93KXgj0nq+S2A6b8Kg/+lwkBHaf77Lsqx/gZE4y9ibQQG+mf+ODK5/4LVyLFE
+/V/i/j8/dAUhv8C2sEcyyFoQAsF/nR0sv4F6wK+SBB4lut/yrj/0Bfg/dbgEX7sd1nCf3J0gmL6
16MT+gJE2vw2TTIBmfA9KmFk5p0tqTKOzMiHDUJg+eblsQYXo/VDYFsiocJpRyz53M/Luh8NHB5F
AlLcT7vqQsuPRrmP6vLiF0ssV0us6tfIzMnbSMAgsFiBvdsoApp2Vb3Ur5UHdY+ek33TZRIPMDwt
58LmFqI5zquk2hJb4u8zP3xAEVvedwqtqTm9VU1H65H5/NMwmd0LGLTJWC8TRinmuq16mz0HxabB
FMhchWZex6wQNeMYZyC6EIekKH5JaYZiHe8qpJqz3cXbxp6JkFJo1BBUR+MlYYrs0KKNF3fjdXbo
bssGCOw6deLeWvVqrNZ22DRIInp6tUQmpldOHkzhloIqox6oS+y/hVE0kGss+ayWobrhXGeydJf9
GfiUfA+rqX4BkgSNicHQfM5kIe7mNk/eaM0GqzlkDAzaYUGdh8ZM9HN5jUi3ucUJ2pBxGSKHwHxV
FLcVzeuVhd/tSrY9odeeodZKVIxo+8LdRBa8+rAW1OUUFIfQnzh0tJWAaWTZ42vZxsW5LozuIfRd
eclrcRd+Sr3MDjGmvaQkkA0U+jk0+3OoJAXR0iPpn8KOSFNCbRhS+qna5AGmAoaIpv1FY4du5iJT
+8kUJZPuYrKes6CInwdUssdWemJbo7a6kgv1x1AjjGgWDNtSxcvVkljj17KYW7H2IrimMu7EOQ3D
iQy4aMlBk+sIwr5005vJrcttK6I639QyElTtKCgvyAEwJhNWUXACzJmW9Up4ezjhDQIu/GGvBGwS
9iVjQQYjxreEgCMYdQezTyCEu2GWnMgItW4jLfFdgZLtHkhnDLazl7ZXlo2rbZWOTXpgLpoALnSy
2wT42KFmQHpvQcJZx61ZPweNLM9s0NGvspOQCHyzSiiEHBlmWylEdE8xRy5TPyQNCY2J49+mbsbI
eQpjDBEYlYt3F+l2pOF9GRMCgF4RORFrUVn1o+ij4gvD7vQ2UHl/6a05PQWdPUVbq5GCCLPa3Rg+
YXEbPILNY+gI84YzN3R/Q/DnVpO4FzG5Y7PFfNJe59iasp7BJM/2s6qtXOdKJqQbc32UHZrtKSIS
kH80tZUMw0pF05z7930TKbO8qk1T1QPTO2OgRyq1I2ECfng/oxycTzRD8oOQ/q0VApIih3BZEwiK
gsftogdV8shseZjKF3AlYKLKmPFTwIG3XxetTdVFdPDDOHojMYmZNax1JtE6Zep27aJPwF7hp3tX
5B7J4D2+cyIKIICi6QydsV53PCj3ca94lrJpKr+oz3k/Sg+TDNMMSWG0cVvUEA/u0ssKjUDg1x5p
QMI4yLF7cjldoCsMI/otWmLAkfKED8K/UIh2e0AT9qbUkgScj/MdMg/7OGrBQqOlC+Hcl3eSU+h9
+buwIdvFToSLuAVlDzgYIT9CCEuk14RxrEYtkTDRSkz5qZUZv8kxxH7UcooIXYWvBRYQtk55jgqI
bNuVBZWeX6PlGFqYkbqOe4y1WMPSsg3SavqbDCVHpCUdcsFt32iZR75YMZQgVxH0Yn6ttRgEWD1f
8vyt66cziY7lOh7Mc/6pILGiwtyZffpFfcpL0JmEwYzgBOWJxze2RTB1j5US/yTqFObmN77MMeWg
W3Fj2g32fIbqbu4qs3mYMuANlYKvKbXyxZTFtLE/5TAjavBDkFrFetZqGVhJWjiDhAZ3YH/qnP5M
/GeygzE57W2tuMG9ABwSBA/zdozUJwTBbsbHa5cX7DP9hSYI5k1pgZMb3bOvdT1m0nEK+tT6EAi7
h6AAfU3rXoe5Wa45LCIPgjsGhYjR3p2Y5+jeWfBcbpJsKO8IhZE3ftR9C5rUPBVZYp0Xgt63UPlC
mIiessb1VAtkSuDxksfA7HAEwjDeCK1nWrSyKfGT+brUaqd5sjqi4cGUGswjru0ou/OA9/NIoJPq
kA0hRUE71VUk5U5lHN95Wlnlao2V15gzB63pDOJWbgqtxCpV/JZqbZatVVq21mtlWrnlaw3XqNVc
g+Ofeq3vUiO3Tm6YXz2t/QLexlErVxpwwju1i+BdMptFgxvRIxjVvHPmJdqN9E4+/D7WPdJtr9Vm
cnARnnVag8YaY1zlQ4YwTUDNuPdKUjmE1q05WsHmaS1bpPr03f0UuEVYnNZBMd5zE5Yc5szyNvdi
DzE32rhMq+ToDt8G9BM3Wi92rLSWrqRdvDFGra+T1qs3dRyvCeB+qLQKD3yG/XVoXE6rnyI9lkMt
2JtM7NNuUJMIbNOq8hx/j88zOxto406YLeZDHWbqGBik5CSx5x0N0BzW5r8l8v+mRKbD5DMc/Pcl
8n3afPv1/xz78q3+9pfRwm8/+HudHFj/smwsi0z0fhfO/v+BI39Ef8s1fxPo/nnCQBwXczQ39EPL
/z2W8fcyGQq/5Xomjm/nP5w4crT9vkRmCgqr3uE9UKcju/zrdEF0CcP6iD6igV5+lc9pg9cIgf42
AXhM+Kv3LKtJFyFtRrYtiVWJp11wwbXdjCWOO2KGN23vVkjTq/q2HM0nLzapjNtS5LvGleGGCZ1z
7Czwre5sBLucLjaQj+C61fJBBFy3uZLdW+RUF18iiDfkPh7aeDN0Hs1xqU3s00gQkSZFmGN2XSF0
XougrVeQTQTrYAjMwLMZFZgLrnPz1qchgMdcvjVKAtcoOrzCpGV3A5xaDX+sANxsgya8Dhy1lxm0
CzqiH0iCLpAn7mE1cJ7NRgRzxWWcl1s3n89mopkYuUFdnL0B5242jVjePQT+5WS9A8d8FnNPTBZ4
2K5Kna8IkqALhP6KPi97FeymVW2E17QOn4upfAuAqe5MbN1mV1z0FRgqYNXMTz7ytjbWum7bORoz
64C6XY1JgHhCTo+JI++1/3QNZx5NUxm90+mApp26h4RyuxgBCi+IxteG7LkwpgmZKDvZ6UhcWKEe
fRQqsiUu2iHBSJVvnchBBnrXAYpMfwV+dOvygcBYYAifb92S72p2hp2IWiYebnFaXECIakhxndic
MuyGC2Wn0BBij84KcW/plvTpYc0hqjkPUGZJBNHXMq3ekC+SQ4n0Ef0xABH9Wi1M460hllsIgreD
jeqUiO5PLK8xmec2QKozFemHU/LXPCu7FIU6g2nxDmET+Xj1+IT09p+WGFJwOfgIiyPH2GC3l6sp
AySRggi86rz8hJ/wqXOhRqeeesTwv1FzLdc13aANfME3ErqxZNnqPWyW82QTOJSnXXZdiOA5U+Yv
5NTcRDKDSQBqcWY2BS2iOwg1PS7CO2RZO3CjOgcmcOnKMENqtoHh3DguZ7+ZU6bIfJ/wfBwm4twJ
nJrwddoVkZ69+UT23XuEk49KArnTkJQnyv1H0Y2Prio/Ko6Za9Onaz5W6tGJrRTkMWxkDJk0r9E9
ry0rw3alr7tV+9gx3edG1DkR2N5167kB1hF+Tne9UigkK+n4nFm6GUsHtyOBk9etbbSveWwQgpen
8wZ30HTnaARqqYDxAjDw1qTKTAehuamoSadjX/nhUU0GbcF0LrdwBEA2GO28MxkZnKpU9GvbKJ13
gAKvM7vblRUWgH1XqsmEu6EEafNNVAlnQwqWfIuDhg0NEy5n4twV9VNRx0/Vb6lFLmFSjMrStYiM
a9rIrzT2J0InKNNSf6bvnzE8mMEduAoFcwdPjsE+HCTEUxx6iCG75odvax2YJA33qdERSv3o4Yka
vTdVz917XZO1jAYv3ZbIUSkFwXMtkY+mB+YyVq34FqzWAGuY23/J7feGCIdVL6qWnq659pUNcCTA
JcO7iFcjvd8VTEFzo2w3vHHNAFyPzU03F8GzDiYcbSGP8dR9GLI7w/r8CRPyByYdJg6qYJopnzb3
75l06BexScgCv6qOD3BGAfkdyULmicsCEXz1py3u9jdByp9jjn5oq/BqERua40HcJNziO15p5Mqx
9uegxnQHIba2ihPJpunKx332k1f6wSBCiJLjIb2yTTQ5tIb+ujvJIFBOHhPlZQ/FWxSzGurlOLfk
vHZ6itwj/2b+Bm94V/83+bX5m08X8Tv/JMKhwcVrhuz8+GYi/c+/vmbi1FEaUiQeZhAkW6+fHtH7
lmsDYozUpGn9ectyOXc9q9s/X1gHWMKPr02NSm8MQQPum7++dovzc8kJgj+QEuJscpyZqLr9VC8X
57zJiwMo9HcJFxmB+TSdchBjm45e0KpL5/fUj7ldlzP5V+y6oM4jHVmQ00Els/csfZZvQAkEmbnc
q01+gZuyq7zpXlXJk+mlzJSUez2G4GSZ4EZ7BAUA6bHvrd2Q5eGfP+nf3EJMkxCNU4uaCF2++2Lt
MouqxnbrQ2r3O7cxb0mHuK0WLLw/eZ2/u6Ku5WjxBiEXP/BaI0kgMH/IvYrX4NgDip/x8m3NkkW4
9iOIQ2EB35gsinKab4PBrO7ShD3UXZIPMbEu61IlhyS0wiBzJuMqXkVyfDQi/5oD9D4NWe7JVa7W
SZL6e6Fs9Zx49ryvErvlSDln55EZ8X1dqCelqfyjnbmnIQvxCfhDc3br7CPOPH+FveRT1dDs0U99
xM3yFCbjbhl01mfrHNLZO6Q0CtBXcOxyWnUucN2s7XG5DWaAurbN745C47WDCLgOrJ9CgP9mhQGv
oecuZkiC7PeM4gVHoMBuUh8WaX2WE4qVzUMiuTKkc/jnL40K+4enAAsaBIgQ5Y1n6z//ky2so3UZ
lO5cH7xiQpEBAKr52YL5+SR995Qj0IHxrP87ot/519fIUlEMpWnWhyaaCPjLFBzHeHnXK322OPN+
6OJTYbsHIt2uZRyl26AuTzAOvsIC+oWeY71CvNWtwjJ3DlPOJp5GrE7tXDF8ST4WXzrbIM6KQ+n4
IMw8h8AFc+mvyszfTmH7JYR5hG8pTI7unM3r0qNugYULXzcS7c7uABczErP39BOGlWlnHx6Gfabk
xWVSxanwkhlafk6BCrZKeRaJj1Bv15M53De1nW5dZzn/5Dv5myeW7yLCEMg6TKvd/usFq+12UHRH
64NVclCYkNytswGylW0UfOaUK5BRbm3KObyuPJ9ExJ5+7WJVN0POvRwXNW7tmkTqWPvzfKR7Y2o+
y7x1NqEJj6yY/GtNrltDfr5OIzunS81K1DbkiAT5/GTa8n3pdVZ59qAcqkOUu8R9GGpfpObTTCEG
PzBt907JDLKV94nn49QAI7FyWxa+3p/kKjIATla0w/c2GP+o7abLP1+kv3lI2DP0fywn4vT23TWS
iQjKQU71gWCMDSWOWoGs3EeuOa7iNvnJN4Lc7MfnJGQXZlmzLDv84ZkULip12x3rQ2f3NcKnnqia
OD/F7FSRxfezNNySy8wBiREH04icCjDRswwKQCLr6VLXUbvOqom2nL/gCdYkh3oOf+kL6wrP700Z
MSxPI6p9VTfOxmn7d9p796qcz/D/2Yy5zRKneIulrlKRIuSLeRFjvWFuTSZJRjjpkIc7fJvXn8dL
NBfOBmwLshYGkvAq+AkMWztSIodVuQwpIQCIV/UhKK4J/ZFD0ZyI1njMBg6Soe4zLYKjnrfIx25I
TLqu0YrAgUdMjbcCL6fjUK1Zwbih9TzDHRk3BvJsGrj6hmzHCZUU6QL6MeqVd90E8tFP9AHCKwye
JyiCpaBaMuP8ouAebIKWv02E+jMtWR6xIRZXkafeu2HYyJELnJfZBYNOhYSUUtwt3ec8ne4lauS1
03jo2KqTQQt00eFDXcIDPAzliUPxHr8ZyaiJZsXydPhyuJSW95r2pFkVlgcdYsLN0M1YDeUe9Anz
eVJqzkCJr8vBfbY7Ijx+cuf+zeNNrYPyBlcwd9T3KsNydnJhu1516IP5HfTpfW+y79G+5HjHY63r
r8+jdjNERCVFVHqfz3ydDrtZ9nIlcn5MVM6mGOp8i6RoE2qXJ+k/iUC+FtbbSI3zAbevwQGtwHSW
0OdkBJe8C6OMLsx7cTYk7Iv4zAHCs5avl8C5tg3WGEZBT5NDuWV2DiHDJtFzKhkKjJRU1vgBbfbD
1Gn4QhLK7CAfH4eJFbSztYCHI2k0lhfsaPeuN2Z7zMJqm3WFsxFyOVepfMzjKtxUFpRMbK/vfr+0
u64d7gNOB4ci868nNhEOmeOjg9JaV/ND8Mf++l8p/0+k/Lbphti+/32H7fLWzT901377oT+6a96/
MKkHkMFMFy0+0+b/6a5FOOCB+JGNBhpcN8v+EPA6EZhxgrVpvvmeoyW8/+NyDz7zLy1gYkBQTbSe
/8kU+vs9gfQKP2SoZRKeGNn+9/EVtTkS4pAWcOgSy1tYitz6KlHJ/KWyFJguCuz1ny7P35xfvq+e
eMGAoTtVNe88BLr11416KKN0IFt3PiiVd3emQTiy78ts/8+v8v0piVehGGTq73oYX34o4AevRx/v
pYpTEuFoRMOIu6JBpJjhNSRdWpZ4vDq5YZhlaM2i+vLPLw/A4LvNj/gD7dMIHc68fMffpxuiIwuz
aQ6GA89zqXZK4u0sg9Q8TNSVV5iwupNiyt/vZ9R7FsUBg+5V12YMj/FCeA/MtRCZNjFuC3AqZE4k
FqDdcJEFfZ6Cv1tS7aD/Ra874XPPfeis8NKRkYXz/CGGubh3CPbaLCpcDnCGNBrLFyeEr+KZOCz4
v1OFrLVNLCZEDbZAfOrYCQ6mUNaj79jtdScL69FWk7odnJE4dTyIbyGEXlK0MCZ8IAhYdhjAp6dy
JOq6zz/jsyn6uzgDkikbu2YyajavaTa3L+T+8INSEabRcwqhGvDj+2gCWraZAPE2Ry4VkRsQHvnZ
GAOis7fZf4jlDnRG/ZLZjzPWkw2q7PTGE0t91bgRM8QysXHzB1l315QTEoMpAOqKJy+kpEqXy+Ko
7BCbldw4MX5XepDirq+G+LSMgdr7qICOWKV5O84wPeVmNT2JfPEf+HaYJfWEVdU2R+oR2dL7zExv
nQQW95CsZ7h5cfNCzcw3I9raPGCC4RmSlOXOUEdXPiqAA9n28wcgqvmL2fEjs9n1X/0mDK9iReyS
SAbrcSyX/ms+kGOuD7VXVRVyRaJcMBJ2K8mUy8fCsSqgAm97VNJomCd72wgbp6ePTnO0En8NHq+D
vMz/TAqKdPBH9gIdCCX1qnZH8a56Hmd4L4SHo0A7Mjptr+eglRumVPj3e6fu6q2JdfXY9uRaDQsx
4YFL6WpYcXFP0BhIP0Sg17SNvHUZJdOvhTkDUR4GkG8cUlg0rOY1U2J6QrG2XCIx8atwHO5bYMRa
whheRdJor2PEeiARhHdjJCY565gQt0DWo9UQAdCemCdXVO719KtVZPOegZJ7k7h8E+Smhyu3JkCt
os1BZF87cl2LpH0LSjJMFJknBCEpI6txGMbxvW/G4p1SYrnUMp2/2JIgoLrhYSghje9g1wzfyNaz
HjOXeCiO08sOx3NJY5vvMSfAc/t5i5a1mn6dOz79gqszWYmFb8Klb7p3Le7/rpjaF/LF41PZFy/S
IJI8JUoG/v4HriFzwhtArN2qjyv7mPbeq2nPApJ3PD4lNvemPphke9sEfOQCL0JxP/2Kn7e9bnOP
m1LZODVTvig45sOOhj1hNZXj3kQwhW9GUmUeawDoL6PnN68GEJ3tQs9y19lx8+pUHj0ox/AeVDiH
QNTyEMViLZu3JGSIss6cGcJwx5z988OFJPSgR+yNezW3NRbXLF8ukon6V8Qtxf0MfpXxRsL1sUB4
ndAQVHSbzYzYPDvgrB0rUl5U1r23pQ/yDGLRiHIzDcWzRb/9KjfnwNn6NrrlwbeT0P6KDBjb48tE
GOjwnnWj+5KBji+SA3igmsHEsBj1lkmRBCcNIBwiXOKM7r2jidP0U+cvVjhDXvVHKAyWp0BPoinc
cR8CrB5swIOrRg0sTWN9PTaRjX0TXqxrFLeDCfWaSei94Y3XbtVW6McD727pPNZOOnnXyAQfYi++
rgx6wJz6kgNhnumxsosv+NmgbZfIWkd3/oX+yLh1p/FbkdrV0aiT91nTutOFsLDaGturBrLlFkKA
WvdxMnyzmAdsk6w/I56Nd6XsrJPSPHAgE8G6DDzMr5oW7mpuOOrwaV53S3zy8/BEVqDYZKWoMXdE
sThi7Ck3tqHcNe5wD2hBMTVYkcuPpF1gCzheHewZF8/ryK3vQd5mxFcY0TlPk/bS+7nc+SkPrMgr
65zNxCJBjk6Oy8wXScglECzNTq80Rb0dnJA5P1zF1sHpPiFT2acmcyaoleZZell0gFn14GhCu69Z
7QQlgm23ufbvfSulv4YgTclaLRrynpCyebBbUPq+JV/xz3RXI4l0a/I2R9RvkbWhLvAh7ml+/AxI
3gHgB69Sw+XZwMPd9EmcRym7zWtf3JMFZa2soeh3yaQZ9fCssQuF6jX0JnKfHKYxtUqQGGi8ffRJ
uveVP++jbMrkOtAofISD6TqYXIcK0UGExREWOJsHPb9lfcUnziICSANdTI+gN24ursbuI1NeEK+Z
9hGwHpqQNOWp6rcJEHhc19yBcO68U+t36ssinZypHL6MsOfIXW6cyWhOVucvby0sl6M9V8tjm7dN
srb66KAWLzpWBDDcZjo/YIKFfSqq1l37dllxuxfTqpTo6XrEJ3eBTiFoPgMJkk4i8WjDnTCmamtE
5bKSKHE2eDnz58Bn1hnqaANXhxzgZjR2IoViNyZ0FC2AiPim5THLHAVskqCEBMP/Uxkm1r7MuON9
HaoA3zPeRjJ2L03UEFRXSOO+GhQDQ7GgrQ67qVy5HmyerfBxVruJuE6Jg7mKEJ/TnZUSblupCUOV
mxaXtl+sI3aVAMwZaRzncomdlxEMEjhTTwZM7gConrVgPlznVm7+2lYazIPEwFcbMzen44KeCyel
0e1Hq/ReIJZm2WbB/3DlDgktACf3zYtFTtpCdB8SKu8FmqN5kGmBBsgkXomIAyLNdkHqTb80Odj+
oZS6LmjFnVJQPHyBxWsbkk17NlRZkvONRyRY8aynx86Zuiuisht3TbJpX8Jm97IDuAPgg3nWeDez
DYBxIdf6FxuWRb/u2rnQ3w3qQF0i5bnDPlRaCx6lvr4i+dVjcW6Hb7BPZLtOpE7MNYueDadlFf6o
yzLctLMR37dFoFMXCsqEIIZ6vUk8xrKfccoibb2bJcuMewO1FB83c9LdCIgt3CQmCLuKIi/duL5q
f1HtuLRo1/mSrIXdmdgZcfqt+BKZbT3m1tx/I6EmJ3sUCgt1Mh0pRmRAK7aUof6DKgRlmS4Y6609
ucWGLLHy6CDmuiq7ZTm4Zk9YZyNZjLuc1kzVMmgieKJnc6epbtzXQB6fMhtwCK6HYgP8qb1Ols93
EQlMEz5lKWJBvSiDJ/mgQ4NInvlkeYyEsG5ZButvTus308bAasiuPbFUJixEq6rj7cA2nfepZcBN
yUy+O/RlYb02q27eJ7j5zuaU8/nHSW6ShL28odh6aTFgrPtZl7+R37wEgyqPds9HcBLXegwrNX+E
c4uXeYmbbZ1nEZGQEq7rjJgA3Dl0gWNhR+Lunw8RPzTQ9BkCyBkQMqBmjHu+69d1dlQ0SWIMDLJs
ccLyCK4/6IN6LfA+3CGQpbx3yKyb+GJe+5m42FrWXOxx8H52oLG+H3Xp96LfCcRTi7cT6XPkn5re
Y+MgXczFcEBf35MmsozeTeAPNvFlMj4hYUCmGXFlaXvRhEiaapv3nnPACv2agPq9N2pHnHpnms+1
bAU+G9e9mTDdfZFU3LufXLjvpyr6zSKuJn8u9CKiy797syHmnGAynP4AuNjUZAf/YW550EwrT2+M
kbuOrYgbDOiU9VgMxN+a7FMnAsKbt7ylbg6gK/6k+fpDbBzyFQ8gc6jfVOD+cPBNYLQgQEt6jO2O
wN0dOThRCTO9WiRs5q4b0w1L87KdHYeNJx6poOBnZ/sg1Y+pOxX3uXR19Km/kIbjNd/arAzuQh/+
ZDSI5RAbHYITodGx/3w5adf+cJgNHISngAQYPvrB9903D4lMW0K5PSjBnobiugWXWkXzrpmJVG+z
Wm6i1Ak+JnueDuC24XNZ9luYt19lnTjbzKNcMgjA2YzEPF2mznZfpratL4wyirNpVs6r7RapurRJ
W0/nLk3DY+xbxcZ0s2WXKR7oiqWEGVnm3ZikS207VVGvlgRoU0Auu1o589lNqeY7McpNo1cYOs/G
/ZR0/oPhBfMHSWOmt7JrF2SIA5aUosWn7pVNeRxHFjDtyOUgHcImd8F54Ilx9R3Sadv/b7W6Iq/m
Dk2+XlMiXbYXFPRR5fWEKGf+A57Hdgv/vL0uUP1f5aOgBrVoOSRTOj0leM5g7Xp2iVQA+/FpKJdg
uhKxTLhIGQpdQ/WDIuiKecF6bJ24BGHm5KPTrT0brLG70a10+6mJXfTwwsGwEvhgOo+o8bNNvOj/
I6agjzcmhCJ/HWe+FU4rj4r7HJnAGIJSp5W5kpq+M9O83sDq5RMnddRsFYsw4euKUp6oeVBjM0U+
x2nzwOmbJRaK01cz56hp15a37j2j6dYVIS4X1XFwC1O3/WXOR5LesyHbjxPVlVlI7shl4ECR1v74
NGTlawDYbb0oq30JCarJNt2cTRwquXZRgU4bRCIXn03HuO9y2zlabBx3hUPUPQRQFr3QG8rj4IXN
m5qN5s2dLWpDu7QhiRJGvnOGsLvlJBpezRDbVkiz5MYv6/5rDePqq1IW1gfFajTo9gNBxQSLVwN+
CncpiSqZS+Cx1pJUx67PObXgnoUvkQV3ldONT6Y12lu7tps3D//h3nQ5YbUWp2e8Ags7wNBY/Vdk
lJKzSNnSf83Q2yD8bd6GuIZsGw6cjGLXHQKwuwvPSG+ONXlKFn9I5IZ4b2rFVamWctVzOlx5mbsc
6pQ9UbSCrhw5xkCYIr2Fpkw4dt5MokpZ2eJZzkFILjdtlr6lL52gvTxlaB+ufCxs+44NdF8z5iY1
uZ6e4HtwvJdAOULdAYpCjptVQX8oyDgmh7JePkKe0mWbhUv7Uvj441TQ/jKMA8dt00turNrtccen
WvLJL60NXTjrd63ciCZWmBH+vW5K/R04sjxa+lFVen03AfdtWpolr55Q2Ac7MjJWuSmJW4f+/4Vw
Ef2cmxzgU+WKO7Pu+GaanFLkcy9u60TjqBNEzoUTcqtS9NLXcXwulW5KNGUwn5fEny9qorv2eRsi
XKOQwK5sHtRozBc3oePh9LO4++z41A63T4Xidu1bdE7Q+ZfHsia2FF8u0a/IHq/GGB7nZ3vASAwu
gys42dJw5NLrRt6S4YIrWhpCMk0/unCZLwuPG+JfnADxSip6YWFC98psVXEvWhd3PQUwE6GQkmxs
AnUrNOckrQe+4oTgauK9+ESmH4HTThYewQZ9wKONwoL2X2F663Y0mm2UcwsCPbPktq54YhJVeTc2
WSIPFDwmzGx/6r8OOY5J1rBCkK/j0ijzBinek5yOS48j8ktt8JjHdlceDd1cQUrDssaJPibPj06N
EbKfIy2oO5yYGb+pYsKyEwtLnGPx8p/9m89NUhX0busmdY+GafxqmosulwNtVCoriiXRm8Xut1sT
v82udWkN1Q3xVNhy6yuYBBrG7IZX4dCLZ0KEloPVJ/TURl0ry8rRrhNOWuCRBhZ3w+6/NWXUvJKf
SmS9KaIrGbDONhK8Jgo60b2btcMXUhSExfccn7a9T3k+5DzT+n4WnV6G+7jpz1DS6EhGWUDNW3T8
OJsopiBkIY+p7npTl+hdgAPaqxVyS7jL2H8bRdy8pVac3ATEWeysTt8/xOIcOOrQjPT5ODC2yuNn
eRtGdEj/H3tn1tu2kkThvxLcdwncF2DuBcayHNvxlsRxlhdBsXVFStzERSL16+drknJE2XGS2wGG
GAyTl0R2i2x2V1edOnVqvoyW78LNGhTJ4Ji04BLd1meDmgMBF/QEvLYx+eBOgKiUgxvXds1LdDeu
c7Gi2vVyVS21200Kv0yI3IwsSi/ODMLhkWct1NvEgmnk0wrjjJ6kwVkVKNEFDcejC1PDiQ3FO0Ac
LPmcoRVL3oic63G4QYNfM+bru2qDm5wsweeUONBuB2GEscWOfYrpI/TZswIUZCeY/RoSXOeAlo6W
TM7n1MSSQ8X9zLAmyYgwZ3mC3BgrJC5xTiCFH4VsbKFZAQoaB2yKSlnHXwJtAEC9ATPW/QmhQo7j
rFurzbEGuDzmsGfx1Ga2RKvxNchR9SaNjflHovqKkhRNlI+FtH04p0KkvEkBbT4kNl77AJWCakRa
kslUMG/emn20dHVOLWudEOPprLUBRTLlBrxMC8rQP4sMc3VOG21ARGEq6d6qjcm6La9RMid1h+4Y
qNdA9Hp3OR88IBP2ZAo6HeV2dVlr1usru5jZ0aR8TclscBTh4OkjVPxwL4M4+QpJCpdjReXL2YJy
4CM/8b1rzY6+rNcmswZnRT/THI+tsl4yB/A9iIbWm9UnvBJExagLmHAoK7GL31KY/tVmoGBkN/Q9
v6ObHh5kta6O1wUvvKIY/XKpAanX/6w3ZhUuOGIGapHemxvOVJqoGWfRNi9vSm2AapO3INe4idnQ
Pl7l3KbcCv1sVjZijFuThgv+9jKxtkRkG7s6KbPl34Wxja2xlxHA1kCxnSVfDI3IFCG6cFRR7LE+
TrRt8RoggScm0xnQcrVwjM8U/5I9FZkYNAqRSzdFf4xlXDjn+SSPG07V/1OVP0pVauhe73n2x9N8
+qpRJ7qahrM//7iafU2n2XLaKQRofqlNVbrmUFcNjjDDpZWGiTDsY6oSKSxEyaA4IsptukSBj6lK
Q7Q9ItZykN52bdJSRFu7SgDlV1KTmijdTfZYUAiOoQKuwv4nVWiZ3Fg36Az0YoAWgbe+0MMtQlyI
66SaBkyok7eroou17RtVEp75QsXAqwUNwDw2t6ZQOciE3kEQOoLczu1fIl9pXWspyghlLZKQC70E
rZZO0PR0cMI5V3wyhLJCWossrIXegps7/pUmNBiWtRxDsiZZlKgeOtKVqV/lQrdhIhQc0BoNEYZQ
optc6Du4tdSDL1Qf0mqzAX4WUhClUIVQwEPvCsUbUMgDWfxd4DnhO6gAd5ZQlMB3R1tCqExYOH7i
lEzflXN9cqILNQro5OUYQlt+vkxctCsBOkdrSy3HhgcEi3TYKrgt/EU5te1wdepnMbXExhZWALWX
2Y1lW97HFfg8xO14gSDlfK2duJ6tvrfNlffOLK3FeK0Y9CkeKFF5kYJFXTir7EOIig9IGmLpKRih
ToMIPdneRrCrCKjLr6i+pdkR5NrslGyuf7GiO8ES7Voz++JHiMDSNqOafAioML5ykC88GeTe9hwF
NRXRjUqfHwdrx0bCjFPoCLa3f6O52eJ0EMyvN8vF4sRelKAcnkk/QwL9U2UTby5Kj6a8eDC0d1eh
fB/l4aZ6T6K3OFmiFjPK0fO4dkDnTittFV3aK2VzYWRRdUpcpE8Xhh6fL1w1f09JdlCOQqqGSfMl
8DVST3POgFwLiqJXyslKtenCMgmit4Nc0d/nlZF/1l0t+LvSMuVWWxf+sbUso2uKJgdXOtg2vTzy
T8wVVdmrMnJv6BYYftJTH16PQycEemso40203L7GmR6MB3paIrWTZddUBsYXizIv4eKvkQlesHDm
0MFc916EgOlolVK6eDTYomk9KmneODasyHsrOgCjlOWu8nE1oRMppX/rE4e07BGsgimcKudNJE5h
CFrJlZFCMS8iJRwNMNEj2qSQlFYHbjleD9zFRbI1jNNgTnWgskYIF33fxY2SkEvxl/Pt9ZLGVAk0
wcmAOgSRDpjMMxWneUNqG266WbyhqNjGftE7wqfL0RFo3OJ4MQjMT74aKh9TUt0XFgWOY8/IikuK
WqhYjBGmfIs/tv1MzKSZFJBDk+GUmt9ygprXzgqNcyeZv16vbSSVlCx/p9HOerw09byicnG7DFmT
kQ0pZlXg/OWleWxluY3mN1UN1Ns41uRMXyzQAXXV9IyuEoCZ9OE0IDlQd06bknQS3mFGkpsqCgi3
5isF+n1ojmlTTFMaj+ZYIpZFYoIExBgG8+qaGvn5deoZGhCxpX8JEFqCZTZIy4/ZxEObr3SK6j1a
Gvp8RHPiwXi7UL1T05qE58UWlZujcGBvUJ4mA4q+blIp14uJrqoUJ0bL8Ira1/mdrUaUSdtWPCFW
X63IkUd+sj3ehvFDoMJ5OKLnenmpb22a1vhL0wd+rdaDu/k6o35joZruZBQM5jR/o2E52iyUl2sn
JaIbtC92kvKtRpv3jyns8YI+mVqarE4Ci6xFealCdi2RAoQtVpTaSbpO5iGipJvKQrOsVIpMeQ+7
gGaVH+Z2CPkoF3JopzHq3H50vk2oRt7CPFiEZXJsrLXl5n26KOc03JkvJ1408uxA2ZgfQpioK3vs
JOaANCz624sH8tCJunzt8IpSDi54OP8zfkD7IOKYHtfFfm+LWVq9m2UFPRf++ldTECA+vYnRDr8F
WM592pT84g+9PFDrH/zIs9DRCjzwLOqbqm/mpTGCKfdcPOB86OYQnhN+gw7PSFywqoI4oqa3/nhg
u0PVMXEioEnVF17Et7f90jS8/ITNfL78My89QeNAnT38+Yemg8ZLzoKhDV2OCEMwuuoL5LozC+bQ
4hOyl0YzS/+tWbiPiygXq3Hux1HHYRROWIcO952VcDDC3kpw6e0CFI4gy7Nz4CJ0qYKSU/PZzEHz
hXvb5Xsb4uW3/FtXgnpICvzOLEwfQkArP8tT/z7nXT/uB0MZChK2S41sMwv4vp2VYAwRIjI1ymh7
OgtECip1MT+zFr47C3RAJS3i0tOunYWD/eAoovwYzpfaTsN/az8cPME3q6AzDcRCcrOgDg0LLiSP
2awFzMz+WmBH6FgMobTarAWSc/2yjRCzD0PPX90Quj3UiDgtV4W7Ka6DSWAFoGlLCpJl18xC3yYB
mQOV9Su1FAxjSM8rhTxh+5C86v2loCIAbon4GwJt354f/r38AYlBwAlwhBTB7i13nl9ThkgNU5Rn
NBa4R8cCZXxmY58OfLdfcJPqRU4JG3jHwYs3caA0G36XYJE326NfNgDjpXOISS1/zRmakOFxtNq3
j1XZf/2ONoSPj/q8AwFQXM1+69MiQFBb9lQ0gOGwhAZi2800HPjKljtErAPRbbuvHhKVrIa0r0x7
QOjK9C2wn50Fiq4xBdSUU+Rdr4XmC3u0FnSd1KrkjiBucmi24Cp0g6ivAz/RsVgryAdyMjaf924W
VMpXZY9FXRm6GH1qaHaGoWsX6BcJRCAkFNvosn8xgwnHWXItEDM4Lh5SuxKeuEg2lUE6JUMUGzU7
pnd+okZfcNkzQtcojeKIhNrVXt214OAnMtmKQdVPffUvZkAF6yej6IO441v8iLuMXmRNx3p81/sn
pe0MxUKhyqG1nr07KVGwkPWWdGfoug7Fc8ItEtdhzKDgNBlwJ63ePb1uWaKoX8pbIlgAJQFCsNr9
fugtUURI2Ehw1ldvSdNBgiRngVJJ6P4kLXfI4pOQycIgAC3SGHi3SPrlOWsqyhWSs2DQ6gktGtW1
m/BAeMb79kA0lcKjVDXKp+uv6pGfBLIqHTnoxhAUSQcdaPHjJ89vDSkeBHITvaT79f7xZBVZW8Cp
KOSVoPA9jyE5+pD8uZDCbr2H3llEMEBB1Ja1iA5F0dAQnodPHJolYSY4EtvPe+cbaMBbsh6SIWIC
6F6olNcG7/BYdI0h0lGYXq35ph6ZAmAfTRpaJ8kC51+j+rt5/IOQSVXwnaCVQC5pz82+GQTN4GCU
3QoK4TOPCXfmWQcRKIVPaNmFhkB99c4gYMiae/rncJqIFQBSNE0sqv3jkLAZnEak4VpIvTl/e7QT
nlOe+GVMHf8Y0BAYqfv0tsW7R1fqMcXWu3cvkktN9PrPXz7usUHm2jDhpdXXwRpgfQ3ZZ1jKNhrr
09sXp5SsBdCHlBqBmNCVb7fD9/cA2r5MjUWD5zbj0rvTQAXck14FJFrJpiA/SagkLo78/VkALuBr
LBDLHZ7Qt9NAdeUzjMaQ3Q48tuMVHG4FVR0KwBltx8Z97p+PTNpDcj9YuD34wLaitSciPvf+SqDX
7rCWKd1ldHtkD9jCrbMmZQ8phtH4g7nff3Cb2IGejC7U3maL9C61iJZ4syL/+dMTINJrx6EXarvP
D2ACl9SS7uIxIVRXX72bBJTQpScBbg3QKVD0N2PXWQkmTAR0euu+RGIt9G4SyHtp0rPgkEU0IFOI
bk7iYsD9WXAdkvBwkMCmmv3QnMQ9Mgd4NNLnojj96YwBaPTsJGAUbB1AoVYl6xdeopH9l40MYOKR
MoOChvdTXwfmAOeICggihFb+rUcvXye5Ifv2Qc4Ji+qe8I9LfH8LQLyyQNOAy1o4qXcRAjGyK7sI
BCkVhTYk9pot8MQQABSAGaJY10YQvYsSCV2E1rEUaCZSSZpNIZD5jV7WWQvmUEPp2Aalbaapd4cC
bAlNFjoUaQTsAWdjuxgOUSPhItukmDWrh6AhwL7sKuDQs1Ah37EpRJ52fxUI/4g1QH1qC532bhUQ
3jwpgPtVxITeNewFoXDSphEOZ8EdwkNAmnN3avZuLRDMPmmb+auzwF4QALkhRJvr6yBgAD3DMXCo
RG/3Sv9SSgL2k9wRrAWLmkSEwJojUrhc+ztC4CcqOUURN9dX/85IXAXpWYCGBTuZtFkbHB5giQJF
o1AUcKG1C/07I5G1kMbSaHdl4ycg3PPsjnB1PAX4SZTJNp//gl34CdfysR5o5PnBQ10J5M+y52qB
vvcDu9qIp5+31S91iQvFHZ0fFIVBzXc3jHfx7786nJS6Hmvvw119Vv097a+3D/j0qzvftXuq3X+e
+rN0mt57Vf1B1d5mU8r872D6dRpO9wtTmmzBtzv584/Ofe7Zgh8MfFAhLd7o7nuerZN69L1eHDf1
t/FBr+Ia1pO+4XQ5jbJptrtF8RobtER25NE0oJdWGvmdaW6Y/tJjx0GcTh/i/btu+EDyI0fR7D73
74u8M3gdMMsOfjwLpptpOtsfuUFlpEduS4RexX+/Qq6mCL92p52ODb9hFZ4w6/5D5322rG3Z+389
i9N595ZbVoPsyKfMuO/vz3jLs5cd+Oxh6nUWYFu/IT0uPewiGvh2brlJZEgP/f2O599vF/lT9uks
3nSXRXNmyt7wm6e2qcHvpAdmgOJ+WXUmuYmFZYe+iAs/e9JYviExy459OfWjjvWAh/E7jpeXuhBI
rozLaZZN770im+V5Z023KJz0lPj3nj+fdotMGyqQ/NCcBVmcd1Z2S7CRHzvLfP4mScc2tQTn3zF6
XKSHQ4sgX3roOMqnXU+k5R/KjvySvozkIryarafdc6tljsrf8+bV6TRMMrTZOxuT8UUC/neMfz5L
s1nHUkF4FAXEv2Pwy1np33eOsZZN+TsG/xyny91t7pXASw8dp7n3ajRNY07K7uZslAZ+zxccT5eH
e7+Jh2WHv/b87ow3dC3pYZcBHkk3qmlRbumh09n8sI6/LtaUHfhmFkVZFaynB2GC1pS7yA7/o/7V
kmblfVx8ZyG2xe2y9998wdOF2NKbZIe/ZfZnWTbrWK626kx+7LIbVbaV7rLjfsin3r5NabF72WHv
ZmnIydYZueFMSI/sE9kcLG+9qeCRHfrjlHMnmufdrdkWT0oPPsvyV3fP3XyTP5Qe38/Qpc38jufW
lrVIj13F6GbMO2+zYQa/PPJzSNOjZNBT/GknCfLcr3XBNfET98Fsmv71HwAAAP//</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47625</xdr:colOff>
      <xdr:row>2</xdr:row>
      <xdr:rowOff>123825</xdr:rowOff>
    </xdr:from>
    <xdr:to>
      <xdr:col>3</xdr:col>
      <xdr:colOff>152400</xdr:colOff>
      <xdr:row>8</xdr:row>
      <xdr:rowOff>66675</xdr:rowOff>
    </xdr:to>
    <xdr:sp macro="" textlink="">
      <xdr:nvSpPr>
        <xdr:cNvPr id="2" name="Rectangle: Rounded Corners 1">
          <a:extLst>
            <a:ext uri="{FF2B5EF4-FFF2-40B4-BE49-F238E27FC236}">
              <a16:creationId xmlns:a16="http://schemas.microsoft.com/office/drawing/2014/main" id="{95F5DAEE-8A5E-76F8-86EA-627D074DDE75}"/>
            </a:ext>
          </a:extLst>
        </xdr:cNvPr>
        <xdr:cNvSpPr/>
      </xdr:nvSpPr>
      <xdr:spPr>
        <a:xfrm>
          <a:off x="733425" y="485775"/>
          <a:ext cx="1476375" cy="1028700"/>
        </a:xfrm>
        <a:prstGeom prst="roundRect">
          <a:avLst>
            <a:gd name="adj" fmla="val 5987"/>
          </a:avLst>
        </a:prstGeom>
        <a:solidFill>
          <a:srgbClr val="FD81D0">
            <a:alpha val="3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190500</xdr:colOff>
      <xdr:row>2</xdr:row>
      <xdr:rowOff>123825</xdr:rowOff>
    </xdr:from>
    <xdr:to>
      <xdr:col>13</xdr:col>
      <xdr:colOff>647700</xdr:colOff>
      <xdr:row>8</xdr:row>
      <xdr:rowOff>66675</xdr:rowOff>
    </xdr:to>
    <xdr:sp macro="" textlink="">
      <xdr:nvSpPr>
        <xdr:cNvPr id="3" name="Rectangle: Rounded Corners 2">
          <a:extLst>
            <a:ext uri="{FF2B5EF4-FFF2-40B4-BE49-F238E27FC236}">
              <a16:creationId xmlns:a16="http://schemas.microsoft.com/office/drawing/2014/main" id="{1AFD62C8-1233-A409-1A6E-D21340103B94}"/>
            </a:ext>
          </a:extLst>
        </xdr:cNvPr>
        <xdr:cNvSpPr/>
      </xdr:nvSpPr>
      <xdr:spPr>
        <a:xfrm>
          <a:off x="2247900" y="485775"/>
          <a:ext cx="7315200" cy="1028700"/>
        </a:xfrm>
        <a:prstGeom prst="roundRect">
          <a:avLst>
            <a:gd name="adj" fmla="val 5987"/>
          </a:avLst>
        </a:prstGeom>
        <a:solidFill>
          <a:srgbClr val="FD81D0">
            <a:alpha val="3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38100</xdr:colOff>
      <xdr:row>8</xdr:row>
      <xdr:rowOff>95250</xdr:rowOff>
    </xdr:from>
    <xdr:to>
      <xdr:col>7</xdr:col>
      <xdr:colOff>285750</xdr:colOff>
      <xdr:row>20</xdr:row>
      <xdr:rowOff>19050</xdr:rowOff>
    </xdr:to>
    <xdr:sp macro="" textlink="">
      <xdr:nvSpPr>
        <xdr:cNvPr id="4" name="Rectangle: Rounded Corners 3">
          <a:extLst>
            <a:ext uri="{FF2B5EF4-FFF2-40B4-BE49-F238E27FC236}">
              <a16:creationId xmlns:a16="http://schemas.microsoft.com/office/drawing/2014/main" id="{8C8D6FC5-946C-39A3-1670-B9E21F05544C}"/>
            </a:ext>
          </a:extLst>
        </xdr:cNvPr>
        <xdr:cNvSpPr/>
      </xdr:nvSpPr>
      <xdr:spPr>
        <a:xfrm>
          <a:off x="723900" y="1543050"/>
          <a:ext cx="4362450" cy="2095500"/>
        </a:xfrm>
        <a:prstGeom prst="roundRect">
          <a:avLst>
            <a:gd name="adj" fmla="val 5987"/>
          </a:avLst>
        </a:prstGeom>
        <a:solidFill>
          <a:srgbClr val="FD81D0">
            <a:alpha val="3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47626</xdr:colOff>
      <xdr:row>20</xdr:row>
      <xdr:rowOff>47625</xdr:rowOff>
    </xdr:from>
    <xdr:to>
      <xdr:col>6</xdr:col>
      <xdr:colOff>123826</xdr:colOff>
      <xdr:row>31</xdr:row>
      <xdr:rowOff>152400</xdr:rowOff>
    </xdr:to>
    <xdr:sp macro="" textlink="">
      <xdr:nvSpPr>
        <xdr:cNvPr id="5" name="Rectangle: Rounded Corners 4">
          <a:extLst>
            <a:ext uri="{FF2B5EF4-FFF2-40B4-BE49-F238E27FC236}">
              <a16:creationId xmlns:a16="http://schemas.microsoft.com/office/drawing/2014/main" id="{1A01A718-D655-A3E8-1104-E5D246EF02B2}"/>
            </a:ext>
          </a:extLst>
        </xdr:cNvPr>
        <xdr:cNvSpPr/>
      </xdr:nvSpPr>
      <xdr:spPr>
        <a:xfrm>
          <a:off x="733426" y="3667125"/>
          <a:ext cx="3505200" cy="2095500"/>
        </a:xfrm>
        <a:prstGeom prst="roundRect">
          <a:avLst>
            <a:gd name="adj" fmla="val 5987"/>
          </a:avLst>
        </a:prstGeom>
        <a:solidFill>
          <a:srgbClr val="FD81D0">
            <a:alpha val="3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361950</xdr:colOff>
      <xdr:row>8</xdr:row>
      <xdr:rowOff>95250</xdr:rowOff>
    </xdr:from>
    <xdr:to>
      <xdr:col>13</xdr:col>
      <xdr:colOff>180975</xdr:colOff>
      <xdr:row>20</xdr:row>
      <xdr:rowOff>19050</xdr:rowOff>
    </xdr:to>
    <xdr:sp macro="" textlink="">
      <xdr:nvSpPr>
        <xdr:cNvPr id="8" name="Rectangle: Rounded Corners 7">
          <a:extLst>
            <a:ext uri="{FF2B5EF4-FFF2-40B4-BE49-F238E27FC236}">
              <a16:creationId xmlns:a16="http://schemas.microsoft.com/office/drawing/2014/main" id="{E7BCF19A-7B72-EE17-CE64-4023212AB134}"/>
            </a:ext>
          </a:extLst>
        </xdr:cNvPr>
        <xdr:cNvSpPr/>
      </xdr:nvSpPr>
      <xdr:spPr>
        <a:xfrm>
          <a:off x="5162550" y="1543050"/>
          <a:ext cx="3933825" cy="2095500"/>
        </a:xfrm>
        <a:prstGeom prst="roundRect">
          <a:avLst>
            <a:gd name="adj" fmla="val 5987"/>
          </a:avLst>
        </a:prstGeom>
        <a:solidFill>
          <a:srgbClr val="FD81D0">
            <a:alpha val="3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257175</xdr:colOff>
      <xdr:row>8</xdr:row>
      <xdr:rowOff>95250</xdr:rowOff>
    </xdr:from>
    <xdr:to>
      <xdr:col>19</xdr:col>
      <xdr:colOff>76200</xdr:colOff>
      <xdr:row>20</xdr:row>
      <xdr:rowOff>19050</xdr:rowOff>
    </xdr:to>
    <xdr:sp macro="" textlink="">
      <xdr:nvSpPr>
        <xdr:cNvPr id="9" name="Rectangle: Rounded Corners 8">
          <a:extLst>
            <a:ext uri="{FF2B5EF4-FFF2-40B4-BE49-F238E27FC236}">
              <a16:creationId xmlns:a16="http://schemas.microsoft.com/office/drawing/2014/main" id="{4E17653F-CE94-FF91-92DD-05D2AC54E20E}"/>
            </a:ext>
          </a:extLst>
        </xdr:cNvPr>
        <xdr:cNvSpPr/>
      </xdr:nvSpPr>
      <xdr:spPr>
        <a:xfrm>
          <a:off x="9172575" y="1543050"/>
          <a:ext cx="3933825" cy="2095500"/>
        </a:xfrm>
        <a:prstGeom prst="roundRect">
          <a:avLst>
            <a:gd name="adj" fmla="val 5987"/>
          </a:avLst>
        </a:prstGeom>
        <a:solidFill>
          <a:srgbClr val="FD81D0">
            <a:alpha val="3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190501</xdr:colOff>
      <xdr:row>20</xdr:row>
      <xdr:rowOff>47625</xdr:rowOff>
    </xdr:from>
    <xdr:to>
      <xdr:col>10</xdr:col>
      <xdr:colOff>180975</xdr:colOff>
      <xdr:row>31</xdr:row>
      <xdr:rowOff>152400</xdr:rowOff>
    </xdr:to>
    <xdr:sp macro="" textlink="">
      <xdr:nvSpPr>
        <xdr:cNvPr id="10" name="Rectangle: Rounded Corners 9">
          <a:extLst>
            <a:ext uri="{FF2B5EF4-FFF2-40B4-BE49-F238E27FC236}">
              <a16:creationId xmlns:a16="http://schemas.microsoft.com/office/drawing/2014/main" id="{9FCA19F2-6782-DF03-472E-16F792E3A54A}"/>
            </a:ext>
          </a:extLst>
        </xdr:cNvPr>
        <xdr:cNvSpPr/>
      </xdr:nvSpPr>
      <xdr:spPr>
        <a:xfrm>
          <a:off x="4305301" y="3667125"/>
          <a:ext cx="2733674" cy="2095500"/>
        </a:xfrm>
        <a:prstGeom prst="roundRect">
          <a:avLst>
            <a:gd name="adj" fmla="val 5987"/>
          </a:avLst>
        </a:prstGeom>
        <a:solidFill>
          <a:srgbClr val="FD81D0">
            <a:alpha val="3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238125</xdr:colOff>
      <xdr:row>20</xdr:row>
      <xdr:rowOff>47625</xdr:rowOff>
    </xdr:from>
    <xdr:to>
      <xdr:col>19</xdr:col>
      <xdr:colOff>76200</xdr:colOff>
      <xdr:row>31</xdr:row>
      <xdr:rowOff>152400</xdr:rowOff>
    </xdr:to>
    <xdr:sp macro="" textlink="">
      <xdr:nvSpPr>
        <xdr:cNvPr id="11" name="Rectangle: Rounded Corners 10">
          <a:extLst>
            <a:ext uri="{FF2B5EF4-FFF2-40B4-BE49-F238E27FC236}">
              <a16:creationId xmlns:a16="http://schemas.microsoft.com/office/drawing/2014/main" id="{C5D743E2-135F-DAF1-75B0-D612BCFFEFE1}"/>
            </a:ext>
          </a:extLst>
        </xdr:cNvPr>
        <xdr:cNvSpPr/>
      </xdr:nvSpPr>
      <xdr:spPr>
        <a:xfrm>
          <a:off x="7096125" y="3667125"/>
          <a:ext cx="6010275" cy="2095500"/>
        </a:xfrm>
        <a:prstGeom prst="roundRect">
          <a:avLst>
            <a:gd name="adj" fmla="val 5987"/>
          </a:avLst>
        </a:prstGeom>
        <a:solidFill>
          <a:srgbClr val="FD81D0">
            <a:alpha val="3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685799</xdr:colOff>
      <xdr:row>2</xdr:row>
      <xdr:rowOff>123825</xdr:rowOff>
    </xdr:from>
    <xdr:to>
      <xdr:col>19</xdr:col>
      <xdr:colOff>66674</xdr:colOff>
      <xdr:row>8</xdr:row>
      <xdr:rowOff>66675</xdr:rowOff>
    </xdr:to>
    <xdr:sp macro="" textlink="">
      <xdr:nvSpPr>
        <xdr:cNvPr id="12" name="Rectangle: Rounded Corners 11">
          <a:extLst>
            <a:ext uri="{FF2B5EF4-FFF2-40B4-BE49-F238E27FC236}">
              <a16:creationId xmlns:a16="http://schemas.microsoft.com/office/drawing/2014/main" id="{02307027-BA0C-20EB-EBFA-4C7BDAD47554}"/>
            </a:ext>
          </a:extLst>
        </xdr:cNvPr>
        <xdr:cNvSpPr/>
      </xdr:nvSpPr>
      <xdr:spPr>
        <a:xfrm>
          <a:off x="9601199" y="485775"/>
          <a:ext cx="3495675" cy="1028700"/>
        </a:xfrm>
        <a:prstGeom prst="roundRect">
          <a:avLst>
            <a:gd name="adj" fmla="val 5987"/>
          </a:avLst>
        </a:prstGeom>
        <a:solidFill>
          <a:srgbClr val="FD81D0">
            <a:alpha val="3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495300</xdr:colOff>
      <xdr:row>2</xdr:row>
      <xdr:rowOff>171450</xdr:rowOff>
    </xdr:from>
    <xdr:to>
      <xdr:col>5</xdr:col>
      <xdr:colOff>400050</xdr:colOff>
      <xdr:row>7</xdr:row>
      <xdr:rowOff>171450</xdr:rowOff>
    </xdr:to>
    <xdr:sp macro="" textlink="">
      <xdr:nvSpPr>
        <xdr:cNvPr id="13" name="Rectangle: Rounded Corners 12">
          <a:extLst>
            <a:ext uri="{FF2B5EF4-FFF2-40B4-BE49-F238E27FC236}">
              <a16:creationId xmlns:a16="http://schemas.microsoft.com/office/drawing/2014/main" id="{45AA28AC-F52C-78EC-BB32-D09B2CE05F66}"/>
            </a:ext>
          </a:extLst>
        </xdr:cNvPr>
        <xdr:cNvSpPr/>
      </xdr:nvSpPr>
      <xdr:spPr>
        <a:xfrm>
          <a:off x="2552700" y="533400"/>
          <a:ext cx="1276350" cy="904875"/>
        </a:xfrm>
        <a:prstGeom prst="roundRect">
          <a:avLst>
            <a:gd name="adj" fmla="val 5987"/>
          </a:avLst>
        </a:prstGeom>
        <a:solidFill>
          <a:srgbClr val="FD81D0">
            <a:alpha val="30000"/>
          </a:srgbClr>
        </a:solidFill>
        <a:ln>
          <a:noFill/>
        </a:ln>
        <a:effectLst>
          <a:outerShdw blurRad="50800" dist="38100" dir="18900000" algn="bl" rotWithShape="0">
            <a:srgbClr val="150180">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50800</xdr:colOff>
      <xdr:row>2</xdr:row>
      <xdr:rowOff>171450</xdr:rowOff>
    </xdr:from>
    <xdr:to>
      <xdr:col>7</xdr:col>
      <xdr:colOff>641350</xdr:colOff>
      <xdr:row>7</xdr:row>
      <xdr:rowOff>171450</xdr:rowOff>
    </xdr:to>
    <xdr:sp macro="" textlink="">
      <xdr:nvSpPr>
        <xdr:cNvPr id="14" name="Rectangle: Rounded Corners 13">
          <a:extLst>
            <a:ext uri="{FF2B5EF4-FFF2-40B4-BE49-F238E27FC236}">
              <a16:creationId xmlns:a16="http://schemas.microsoft.com/office/drawing/2014/main" id="{F6A52151-5FEF-08E5-5208-519917EA8ECD}"/>
            </a:ext>
          </a:extLst>
        </xdr:cNvPr>
        <xdr:cNvSpPr/>
      </xdr:nvSpPr>
      <xdr:spPr>
        <a:xfrm>
          <a:off x="4165600" y="533400"/>
          <a:ext cx="1276350" cy="904875"/>
        </a:xfrm>
        <a:prstGeom prst="roundRect">
          <a:avLst>
            <a:gd name="adj" fmla="val 5987"/>
          </a:avLst>
        </a:prstGeom>
        <a:solidFill>
          <a:srgbClr val="FD81D0">
            <a:alpha val="30000"/>
          </a:srgbClr>
        </a:solidFill>
        <a:ln>
          <a:noFill/>
        </a:ln>
        <a:effectLst>
          <a:outerShdw blurRad="50800" dist="38100" dir="18900000" algn="bl" rotWithShape="0">
            <a:srgbClr val="150180">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292100</xdr:colOff>
      <xdr:row>2</xdr:row>
      <xdr:rowOff>171450</xdr:rowOff>
    </xdr:from>
    <xdr:to>
      <xdr:col>10</xdr:col>
      <xdr:colOff>485776</xdr:colOff>
      <xdr:row>7</xdr:row>
      <xdr:rowOff>171450</xdr:rowOff>
    </xdr:to>
    <xdr:sp macro="" textlink="">
      <xdr:nvSpPr>
        <xdr:cNvPr id="15" name="Rectangle: Rounded Corners 14">
          <a:extLst>
            <a:ext uri="{FF2B5EF4-FFF2-40B4-BE49-F238E27FC236}">
              <a16:creationId xmlns:a16="http://schemas.microsoft.com/office/drawing/2014/main" id="{B92C53A8-DBFC-5E62-FD8C-931A68029122}"/>
            </a:ext>
          </a:extLst>
        </xdr:cNvPr>
        <xdr:cNvSpPr/>
      </xdr:nvSpPr>
      <xdr:spPr>
        <a:xfrm>
          <a:off x="5778500" y="533400"/>
          <a:ext cx="1565276" cy="904875"/>
        </a:xfrm>
        <a:prstGeom prst="roundRect">
          <a:avLst>
            <a:gd name="adj" fmla="val 5987"/>
          </a:avLst>
        </a:prstGeom>
        <a:solidFill>
          <a:srgbClr val="FD81D0">
            <a:alpha val="30000"/>
          </a:srgbClr>
        </a:solidFill>
        <a:ln>
          <a:noFill/>
        </a:ln>
        <a:effectLst>
          <a:outerShdw blurRad="50800" dist="38100" dir="18900000" algn="bl" rotWithShape="0">
            <a:srgbClr val="150180">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133350</xdr:colOff>
      <xdr:row>3</xdr:row>
      <xdr:rowOff>0</xdr:rowOff>
    </xdr:from>
    <xdr:to>
      <xdr:col>13</xdr:col>
      <xdr:colOff>285750</xdr:colOff>
      <xdr:row>8</xdr:row>
      <xdr:rowOff>0</xdr:rowOff>
    </xdr:to>
    <xdr:sp macro="" textlink="">
      <xdr:nvSpPr>
        <xdr:cNvPr id="16" name="Rectangle: Rounded Corners 15">
          <a:extLst>
            <a:ext uri="{FF2B5EF4-FFF2-40B4-BE49-F238E27FC236}">
              <a16:creationId xmlns:a16="http://schemas.microsoft.com/office/drawing/2014/main" id="{F184F170-07AA-5D46-37B3-BF5FFF26BBF1}"/>
            </a:ext>
          </a:extLst>
        </xdr:cNvPr>
        <xdr:cNvSpPr/>
      </xdr:nvSpPr>
      <xdr:spPr>
        <a:xfrm>
          <a:off x="7677150" y="542925"/>
          <a:ext cx="1524000" cy="904875"/>
        </a:xfrm>
        <a:prstGeom prst="roundRect">
          <a:avLst>
            <a:gd name="adj" fmla="val 5987"/>
          </a:avLst>
        </a:prstGeom>
        <a:solidFill>
          <a:srgbClr val="FD81D0">
            <a:alpha val="30000"/>
          </a:srgbClr>
        </a:solidFill>
        <a:ln>
          <a:noFill/>
        </a:ln>
        <a:effectLst>
          <a:outerShdw blurRad="50800" dist="38100" dir="18900000" algn="bl" rotWithShape="0">
            <a:srgbClr val="150180">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504826</xdr:colOff>
      <xdr:row>4</xdr:row>
      <xdr:rowOff>38100</xdr:rowOff>
    </xdr:from>
    <xdr:to>
      <xdr:col>5</xdr:col>
      <xdr:colOff>390526</xdr:colOff>
      <xdr:row>5</xdr:row>
      <xdr:rowOff>161925</xdr:rowOff>
    </xdr:to>
    <xdr:sp macro="" textlink="">
      <xdr:nvSpPr>
        <xdr:cNvPr id="17" name="TextBox 16">
          <a:extLst>
            <a:ext uri="{FF2B5EF4-FFF2-40B4-BE49-F238E27FC236}">
              <a16:creationId xmlns:a16="http://schemas.microsoft.com/office/drawing/2014/main" id="{6EB9B782-E86C-DC2B-C33A-72FC7570C472}"/>
            </a:ext>
          </a:extLst>
        </xdr:cNvPr>
        <xdr:cNvSpPr txBox="1"/>
      </xdr:nvSpPr>
      <xdr:spPr>
        <a:xfrm>
          <a:off x="2562226" y="762000"/>
          <a:ext cx="12573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150180"/>
              </a:solidFill>
              <a:latin typeface="Aptos Narrow" panose="020B0004020202020204" pitchFamily="34" charset="0"/>
            </a:rPr>
            <a:t>Total Sales</a:t>
          </a:r>
        </a:p>
      </xdr:txBody>
    </xdr:sp>
    <xdr:clientData/>
  </xdr:twoCellAnchor>
  <xdr:twoCellAnchor>
    <xdr:from>
      <xdr:col>6</xdr:col>
      <xdr:colOff>66676</xdr:colOff>
      <xdr:row>4</xdr:row>
      <xdr:rowOff>38100</xdr:rowOff>
    </xdr:from>
    <xdr:to>
      <xdr:col>7</xdr:col>
      <xdr:colOff>638176</xdr:colOff>
      <xdr:row>5</xdr:row>
      <xdr:rowOff>161925</xdr:rowOff>
    </xdr:to>
    <xdr:sp macro="" textlink="">
      <xdr:nvSpPr>
        <xdr:cNvPr id="18" name="TextBox 17">
          <a:extLst>
            <a:ext uri="{FF2B5EF4-FFF2-40B4-BE49-F238E27FC236}">
              <a16:creationId xmlns:a16="http://schemas.microsoft.com/office/drawing/2014/main" id="{9987CA72-8D3D-804F-AFEA-42C44CF38199}"/>
            </a:ext>
          </a:extLst>
        </xdr:cNvPr>
        <xdr:cNvSpPr txBox="1"/>
      </xdr:nvSpPr>
      <xdr:spPr>
        <a:xfrm>
          <a:off x="4181476" y="762000"/>
          <a:ext cx="12573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150180"/>
              </a:solidFill>
              <a:latin typeface="Aptos Narrow" panose="020B0004020202020204" pitchFamily="34" charset="0"/>
            </a:rPr>
            <a:t>Total Unit</a:t>
          </a:r>
          <a:r>
            <a:rPr lang="en-US" sz="1400" b="1" baseline="0">
              <a:solidFill>
                <a:srgbClr val="150180"/>
              </a:solidFill>
              <a:latin typeface="Aptos Narrow" panose="020B0004020202020204" pitchFamily="34" charset="0"/>
            </a:rPr>
            <a:t> Sold</a:t>
          </a:r>
          <a:endParaRPr lang="en-US" sz="1400" b="1">
            <a:solidFill>
              <a:srgbClr val="150180"/>
            </a:solidFill>
            <a:latin typeface="Aptos Narrow" panose="020B0004020202020204" pitchFamily="34" charset="0"/>
          </a:endParaRPr>
        </a:p>
      </xdr:txBody>
    </xdr:sp>
    <xdr:clientData/>
  </xdr:twoCellAnchor>
  <xdr:twoCellAnchor>
    <xdr:from>
      <xdr:col>8</xdr:col>
      <xdr:colOff>314325</xdr:colOff>
      <xdr:row>4</xdr:row>
      <xdr:rowOff>38099</xdr:rowOff>
    </xdr:from>
    <xdr:to>
      <xdr:col>10</xdr:col>
      <xdr:colOff>504824</xdr:colOff>
      <xdr:row>6</xdr:row>
      <xdr:rowOff>161924</xdr:rowOff>
    </xdr:to>
    <xdr:sp macro="" textlink="">
      <xdr:nvSpPr>
        <xdr:cNvPr id="19" name="TextBox 18">
          <a:extLst>
            <a:ext uri="{FF2B5EF4-FFF2-40B4-BE49-F238E27FC236}">
              <a16:creationId xmlns:a16="http://schemas.microsoft.com/office/drawing/2014/main" id="{63A7B7A5-AB05-48BA-E9F2-7DBECE329A34}"/>
            </a:ext>
          </a:extLst>
        </xdr:cNvPr>
        <xdr:cNvSpPr txBox="1"/>
      </xdr:nvSpPr>
      <xdr:spPr>
        <a:xfrm>
          <a:off x="5800725" y="761999"/>
          <a:ext cx="15620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150180"/>
              </a:solidFill>
              <a:latin typeface="Aptos Narrow" panose="020B0004020202020204" pitchFamily="34" charset="0"/>
            </a:rPr>
            <a:t>Total Operating</a:t>
          </a:r>
          <a:r>
            <a:rPr lang="en-US" sz="1200" b="1" baseline="0">
              <a:solidFill>
                <a:srgbClr val="150180"/>
              </a:solidFill>
              <a:latin typeface="Aptos Narrow" panose="020B0004020202020204" pitchFamily="34" charset="0"/>
            </a:rPr>
            <a:t> Profit</a:t>
          </a:r>
          <a:endParaRPr lang="en-US" sz="1200" b="1">
            <a:solidFill>
              <a:srgbClr val="150180"/>
            </a:solidFill>
            <a:latin typeface="Aptos Narrow" panose="020B0004020202020204" pitchFamily="34" charset="0"/>
          </a:endParaRPr>
        </a:p>
      </xdr:txBody>
    </xdr:sp>
    <xdr:clientData/>
  </xdr:twoCellAnchor>
  <xdr:twoCellAnchor>
    <xdr:from>
      <xdr:col>11</xdr:col>
      <xdr:colOff>152400</xdr:colOff>
      <xdr:row>4</xdr:row>
      <xdr:rowOff>38100</xdr:rowOff>
    </xdr:from>
    <xdr:to>
      <xdr:col>13</xdr:col>
      <xdr:colOff>247649</xdr:colOff>
      <xdr:row>7</xdr:row>
      <xdr:rowOff>9525</xdr:rowOff>
    </xdr:to>
    <xdr:sp macro="" textlink="">
      <xdr:nvSpPr>
        <xdr:cNvPr id="20" name="TextBox 19">
          <a:extLst>
            <a:ext uri="{FF2B5EF4-FFF2-40B4-BE49-F238E27FC236}">
              <a16:creationId xmlns:a16="http://schemas.microsoft.com/office/drawing/2014/main" id="{07D17F89-2A76-9B59-5419-2DCE0481F0A1}"/>
            </a:ext>
          </a:extLst>
        </xdr:cNvPr>
        <xdr:cNvSpPr txBox="1"/>
      </xdr:nvSpPr>
      <xdr:spPr>
        <a:xfrm>
          <a:off x="7696200" y="762000"/>
          <a:ext cx="1466849"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150180"/>
              </a:solidFill>
              <a:latin typeface="Aptos Narrow" panose="020B0004020202020204" pitchFamily="34" charset="0"/>
            </a:rPr>
            <a:t>Operating</a:t>
          </a:r>
          <a:r>
            <a:rPr lang="en-US" sz="1200" b="1" baseline="0">
              <a:solidFill>
                <a:srgbClr val="150180"/>
              </a:solidFill>
              <a:latin typeface="Aptos Narrow" panose="020B0004020202020204" pitchFamily="34" charset="0"/>
            </a:rPr>
            <a:t> Margin</a:t>
          </a:r>
          <a:endParaRPr lang="en-US" sz="1200" b="1">
            <a:solidFill>
              <a:srgbClr val="150180"/>
            </a:solidFill>
            <a:latin typeface="Aptos Narrow" panose="020B0004020202020204" pitchFamily="34" charset="0"/>
          </a:endParaRPr>
        </a:p>
      </xdr:txBody>
    </xdr:sp>
    <xdr:clientData/>
  </xdr:twoCellAnchor>
  <xdr:twoCellAnchor>
    <xdr:from>
      <xdr:col>3</xdr:col>
      <xdr:colOff>514351</xdr:colOff>
      <xdr:row>6</xdr:row>
      <xdr:rowOff>28575</xdr:rowOff>
    </xdr:from>
    <xdr:to>
      <xdr:col>5</xdr:col>
      <xdr:colOff>400051</xdr:colOff>
      <xdr:row>7</xdr:row>
      <xdr:rowOff>152400</xdr:rowOff>
    </xdr:to>
    <xdr:sp macro="" textlink="Sheet1!B6">
      <xdr:nvSpPr>
        <xdr:cNvPr id="21" name="TextBox 20">
          <a:extLst>
            <a:ext uri="{FF2B5EF4-FFF2-40B4-BE49-F238E27FC236}">
              <a16:creationId xmlns:a16="http://schemas.microsoft.com/office/drawing/2014/main" id="{F3BC13D3-6649-F205-4A81-B651DAD08458}"/>
            </a:ext>
          </a:extLst>
        </xdr:cNvPr>
        <xdr:cNvSpPr txBox="1"/>
      </xdr:nvSpPr>
      <xdr:spPr>
        <a:xfrm>
          <a:off x="2571751" y="1114425"/>
          <a:ext cx="12573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F1F86D4-5A08-44AF-B817-96D8E614D320}" type="TxLink">
            <a:rPr lang="en-US" sz="1600" b="1" i="0" u="none" strike="noStrike">
              <a:solidFill>
                <a:srgbClr val="150180"/>
              </a:solidFill>
              <a:latin typeface="Aptos Display" panose="020B0004020202020204" pitchFamily="34" charset="0"/>
              <a:cs typeface="Arial"/>
            </a:rPr>
            <a:t>$899.90M</a:t>
          </a:fld>
          <a:endParaRPr lang="en-US" sz="1600" b="1">
            <a:solidFill>
              <a:srgbClr val="150180"/>
            </a:solidFill>
            <a:latin typeface="Aptos Display" panose="020B0004020202020204" pitchFamily="34" charset="0"/>
          </a:endParaRPr>
        </a:p>
      </xdr:txBody>
    </xdr:sp>
    <xdr:clientData/>
  </xdr:twoCellAnchor>
  <xdr:twoCellAnchor>
    <xdr:from>
      <xdr:col>6</xdr:col>
      <xdr:colOff>57151</xdr:colOff>
      <xdr:row>6</xdr:row>
      <xdr:rowOff>28575</xdr:rowOff>
    </xdr:from>
    <xdr:to>
      <xdr:col>7</xdr:col>
      <xdr:colOff>628651</xdr:colOff>
      <xdr:row>7</xdr:row>
      <xdr:rowOff>152400</xdr:rowOff>
    </xdr:to>
    <xdr:sp macro="" textlink="Sheet1!C6">
      <xdr:nvSpPr>
        <xdr:cNvPr id="22" name="TextBox 21">
          <a:extLst>
            <a:ext uri="{FF2B5EF4-FFF2-40B4-BE49-F238E27FC236}">
              <a16:creationId xmlns:a16="http://schemas.microsoft.com/office/drawing/2014/main" id="{1F34F7A2-E0AA-5925-996B-8922D5D1BFAB}"/>
            </a:ext>
          </a:extLst>
        </xdr:cNvPr>
        <xdr:cNvSpPr txBox="1"/>
      </xdr:nvSpPr>
      <xdr:spPr>
        <a:xfrm>
          <a:off x="4171951" y="1114425"/>
          <a:ext cx="12573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F1FBF87-93E3-4667-B542-0438B15D257E}" type="TxLink">
            <a:rPr lang="en-US" sz="1600" b="1" i="0" u="none" strike="noStrike">
              <a:solidFill>
                <a:srgbClr val="150180"/>
              </a:solidFill>
              <a:latin typeface="Aptos Display" panose="020B0004020202020204" pitchFamily="34" charset="0"/>
              <a:ea typeface="+mn-ea"/>
              <a:cs typeface="Arial"/>
            </a:rPr>
            <a:pPr marL="0" indent="0" algn="ctr"/>
            <a:t>2.48M</a:t>
          </a:fld>
          <a:endParaRPr lang="en-US" sz="1600" b="1" i="0" u="none" strike="noStrike">
            <a:solidFill>
              <a:srgbClr val="150180"/>
            </a:solidFill>
            <a:latin typeface="Aptos Display" panose="020B0004020202020204" pitchFamily="34" charset="0"/>
            <a:ea typeface="+mn-ea"/>
            <a:cs typeface="Arial"/>
          </a:endParaRPr>
        </a:p>
      </xdr:txBody>
    </xdr:sp>
    <xdr:clientData/>
  </xdr:twoCellAnchor>
  <xdr:twoCellAnchor>
    <xdr:from>
      <xdr:col>8</xdr:col>
      <xdr:colOff>285750</xdr:colOff>
      <xdr:row>6</xdr:row>
      <xdr:rowOff>28575</xdr:rowOff>
    </xdr:from>
    <xdr:to>
      <xdr:col>10</xdr:col>
      <xdr:colOff>476249</xdr:colOff>
      <xdr:row>7</xdr:row>
      <xdr:rowOff>152400</xdr:rowOff>
    </xdr:to>
    <xdr:sp macro="" textlink="Sheet1!D6">
      <xdr:nvSpPr>
        <xdr:cNvPr id="23" name="TextBox 22">
          <a:extLst>
            <a:ext uri="{FF2B5EF4-FFF2-40B4-BE49-F238E27FC236}">
              <a16:creationId xmlns:a16="http://schemas.microsoft.com/office/drawing/2014/main" id="{EE859C90-F0F3-FC47-2AD5-63FA302ECAE2}"/>
            </a:ext>
          </a:extLst>
        </xdr:cNvPr>
        <xdr:cNvSpPr txBox="1"/>
      </xdr:nvSpPr>
      <xdr:spPr>
        <a:xfrm>
          <a:off x="5772150" y="1114425"/>
          <a:ext cx="156209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9955A8B-3706-47AE-8E50-475B1818D04A}" type="TxLink">
            <a:rPr lang="en-US" sz="1600" b="1" i="0" u="none" strike="noStrike">
              <a:solidFill>
                <a:srgbClr val="150180"/>
              </a:solidFill>
              <a:latin typeface="Aptos Display" panose="020B0004020202020204" pitchFamily="34" charset="0"/>
              <a:ea typeface="+mn-ea"/>
              <a:cs typeface="Arial"/>
            </a:rPr>
            <a:pPr marL="0" indent="0" algn="ctr"/>
            <a:t>$332.13M</a:t>
          </a:fld>
          <a:endParaRPr lang="en-US" sz="1600" b="1" i="0" u="none" strike="noStrike">
            <a:solidFill>
              <a:srgbClr val="150180"/>
            </a:solidFill>
            <a:latin typeface="Aptos Display" panose="020B0004020202020204" pitchFamily="34" charset="0"/>
            <a:ea typeface="+mn-ea"/>
            <a:cs typeface="Arial"/>
          </a:endParaRPr>
        </a:p>
      </xdr:txBody>
    </xdr:sp>
    <xdr:clientData/>
  </xdr:twoCellAnchor>
  <xdr:twoCellAnchor>
    <xdr:from>
      <xdr:col>11</xdr:col>
      <xdr:colOff>152400</xdr:colOff>
      <xdr:row>6</xdr:row>
      <xdr:rowOff>28575</xdr:rowOff>
    </xdr:from>
    <xdr:to>
      <xdr:col>13</xdr:col>
      <xdr:colOff>266700</xdr:colOff>
      <xdr:row>7</xdr:row>
      <xdr:rowOff>152400</xdr:rowOff>
    </xdr:to>
    <xdr:sp macro="" textlink="Sheet1!E6">
      <xdr:nvSpPr>
        <xdr:cNvPr id="24" name="TextBox 23">
          <a:extLst>
            <a:ext uri="{FF2B5EF4-FFF2-40B4-BE49-F238E27FC236}">
              <a16:creationId xmlns:a16="http://schemas.microsoft.com/office/drawing/2014/main" id="{35219F07-854B-2EDB-B0E0-5A09455D89B7}"/>
            </a:ext>
          </a:extLst>
        </xdr:cNvPr>
        <xdr:cNvSpPr txBox="1"/>
      </xdr:nvSpPr>
      <xdr:spPr>
        <a:xfrm>
          <a:off x="7696200" y="1114425"/>
          <a:ext cx="1485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6C97457-5F08-4D7B-8AF9-25E2F4759CAF}" type="TxLink">
            <a:rPr lang="en-US" sz="1600" b="1" i="0" u="none" strike="noStrike">
              <a:solidFill>
                <a:srgbClr val="150180"/>
              </a:solidFill>
              <a:latin typeface="Aptos Display" panose="020B0004020202020204" pitchFamily="34" charset="0"/>
              <a:ea typeface="+mn-ea"/>
              <a:cs typeface="Arial"/>
            </a:rPr>
            <a:pPr marL="0" indent="0" algn="ctr"/>
            <a:t>42.30%</a:t>
          </a:fld>
          <a:endParaRPr lang="en-US" sz="1600" b="1" i="0" u="none" strike="noStrike">
            <a:solidFill>
              <a:srgbClr val="150180"/>
            </a:solidFill>
            <a:latin typeface="Aptos Display" panose="020B0004020202020204" pitchFamily="34" charset="0"/>
            <a:ea typeface="+mn-ea"/>
            <a:cs typeface="Arial"/>
          </a:endParaRPr>
        </a:p>
      </xdr:txBody>
    </xdr:sp>
    <xdr:clientData/>
  </xdr:twoCellAnchor>
  <xdr:twoCellAnchor>
    <xdr:from>
      <xdr:col>1</xdr:col>
      <xdr:colOff>114300</xdr:colOff>
      <xdr:row>8</xdr:row>
      <xdr:rowOff>76200</xdr:rowOff>
    </xdr:from>
    <xdr:to>
      <xdr:col>7</xdr:col>
      <xdr:colOff>171449</xdr:colOff>
      <xdr:row>10</xdr:row>
      <xdr:rowOff>19050</xdr:rowOff>
    </xdr:to>
    <xdr:sp macro="" textlink="">
      <xdr:nvSpPr>
        <xdr:cNvPr id="25" name="TextBox 24">
          <a:extLst>
            <a:ext uri="{FF2B5EF4-FFF2-40B4-BE49-F238E27FC236}">
              <a16:creationId xmlns:a16="http://schemas.microsoft.com/office/drawing/2014/main" id="{AC930374-33B0-E3C9-E0F8-4D783B86ED03}"/>
            </a:ext>
          </a:extLst>
        </xdr:cNvPr>
        <xdr:cNvSpPr txBox="1"/>
      </xdr:nvSpPr>
      <xdr:spPr>
        <a:xfrm>
          <a:off x="800100" y="1524000"/>
          <a:ext cx="41719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150180"/>
              </a:solidFill>
              <a:latin typeface="Aptos Narrow" panose="020B0004020202020204" pitchFamily="34" charset="0"/>
            </a:rPr>
            <a:t>Monthly Sales</a:t>
          </a:r>
          <a:r>
            <a:rPr lang="en-US" sz="1400" b="1" baseline="0">
              <a:solidFill>
                <a:srgbClr val="150180"/>
              </a:solidFill>
              <a:latin typeface="Aptos Narrow" panose="020B0004020202020204" pitchFamily="34" charset="0"/>
            </a:rPr>
            <a:t> and Profit Trend </a:t>
          </a:r>
          <a:endParaRPr lang="en-US" sz="1400" b="1">
            <a:solidFill>
              <a:srgbClr val="150180"/>
            </a:solidFill>
            <a:latin typeface="Aptos Narrow" panose="020B0004020202020204" pitchFamily="34" charset="0"/>
          </a:endParaRPr>
        </a:p>
      </xdr:txBody>
    </xdr:sp>
    <xdr:clientData/>
  </xdr:twoCellAnchor>
  <xdr:twoCellAnchor>
    <xdr:from>
      <xdr:col>7</xdr:col>
      <xdr:colOff>366713</xdr:colOff>
      <xdr:row>8</xdr:row>
      <xdr:rowOff>76200</xdr:rowOff>
    </xdr:from>
    <xdr:to>
      <xdr:col>13</xdr:col>
      <xdr:colOff>61913</xdr:colOff>
      <xdr:row>10</xdr:row>
      <xdr:rowOff>19050</xdr:rowOff>
    </xdr:to>
    <xdr:sp macro="" textlink="">
      <xdr:nvSpPr>
        <xdr:cNvPr id="26" name="TextBox 25">
          <a:extLst>
            <a:ext uri="{FF2B5EF4-FFF2-40B4-BE49-F238E27FC236}">
              <a16:creationId xmlns:a16="http://schemas.microsoft.com/office/drawing/2014/main" id="{7AF666BE-817E-4246-B3C8-4F3B35E00C03}"/>
            </a:ext>
          </a:extLst>
        </xdr:cNvPr>
        <xdr:cNvSpPr txBox="1"/>
      </xdr:nvSpPr>
      <xdr:spPr>
        <a:xfrm>
          <a:off x="5167313" y="1524000"/>
          <a:ext cx="3810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150180"/>
              </a:solidFill>
              <a:latin typeface="Aptos Narrow" panose="020B0004020202020204" pitchFamily="34" charset="0"/>
            </a:rPr>
            <a:t>Region Performance by Sales</a:t>
          </a:r>
          <a:r>
            <a:rPr lang="en-US" sz="1400" b="1" baseline="0">
              <a:solidFill>
                <a:srgbClr val="150180"/>
              </a:solidFill>
              <a:latin typeface="Aptos Narrow" panose="020B0004020202020204" pitchFamily="34" charset="0"/>
            </a:rPr>
            <a:t> and Profit</a:t>
          </a:r>
          <a:endParaRPr lang="en-US" sz="1400" b="1">
            <a:solidFill>
              <a:srgbClr val="150180"/>
            </a:solidFill>
            <a:latin typeface="Aptos Narrow" panose="020B0004020202020204" pitchFamily="34" charset="0"/>
          </a:endParaRPr>
        </a:p>
      </xdr:txBody>
    </xdr:sp>
    <xdr:clientData/>
  </xdr:twoCellAnchor>
  <xdr:twoCellAnchor>
    <xdr:from>
      <xdr:col>13</xdr:col>
      <xdr:colOff>257177</xdr:colOff>
      <xdr:row>8</xdr:row>
      <xdr:rowOff>76200</xdr:rowOff>
    </xdr:from>
    <xdr:to>
      <xdr:col>18</xdr:col>
      <xdr:colOff>638177</xdr:colOff>
      <xdr:row>10</xdr:row>
      <xdr:rowOff>19050</xdr:rowOff>
    </xdr:to>
    <xdr:sp macro="" textlink="">
      <xdr:nvSpPr>
        <xdr:cNvPr id="27" name="TextBox 26">
          <a:extLst>
            <a:ext uri="{FF2B5EF4-FFF2-40B4-BE49-F238E27FC236}">
              <a16:creationId xmlns:a16="http://schemas.microsoft.com/office/drawing/2014/main" id="{0F28D4C0-712D-61DB-FD24-22EB3946BC64}"/>
            </a:ext>
          </a:extLst>
        </xdr:cNvPr>
        <xdr:cNvSpPr txBox="1"/>
      </xdr:nvSpPr>
      <xdr:spPr>
        <a:xfrm>
          <a:off x="9172577" y="1524000"/>
          <a:ext cx="3810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baseline="0">
              <a:solidFill>
                <a:srgbClr val="150180"/>
              </a:solidFill>
              <a:latin typeface="Aptos Narrow" panose="020B0004020202020204" pitchFamily="34" charset="0"/>
            </a:rPr>
            <a:t>Product Performance by Sales and Profit</a:t>
          </a:r>
          <a:endParaRPr lang="en-US" sz="1400" b="1">
            <a:solidFill>
              <a:srgbClr val="150180"/>
            </a:solidFill>
            <a:latin typeface="Aptos Narrow" panose="020B0004020202020204" pitchFamily="34" charset="0"/>
          </a:endParaRPr>
        </a:p>
      </xdr:txBody>
    </xdr:sp>
    <xdr:clientData/>
  </xdr:twoCellAnchor>
  <xdr:twoCellAnchor>
    <xdr:from>
      <xdr:col>0</xdr:col>
      <xdr:colOff>133350</xdr:colOff>
      <xdr:row>20</xdr:row>
      <xdr:rowOff>28575</xdr:rowOff>
    </xdr:from>
    <xdr:to>
      <xdr:col>6</xdr:col>
      <xdr:colOff>190499</xdr:colOff>
      <xdr:row>21</xdr:row>
      <xdr:rowOff>152400</xdr:rowOff>
    </xdr:to>
    <xdr:sp macro="" textlink="">
      <xdr:nvSpPr>
        <xdr:cNvPr id="28" name="TextBox 27">
          <a:extLst>
            <a:ext uri="{FF2B5EF4-FFF2-40B4-BE49-F238E27FC236}">
              <a16:creationId xmlns:a16="http://schemas.microsoft.com/office/drawing/2014/main" id="{AD7A9575-08E2-A1BE-78BB-2E83DA81F1A0}"/>
            </a:ext>
          </a:extLst>
        </xdr:cNvPr>
        <xdr:cNvSpPr txBox="1"/>
      </xdr:nvSpPr>
      <xdr:spPr>
        <a:xfrm>
          <a:off x="133350" y="3648075"/>
          <a:ext cx="41719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150180"/>
              </a:solidFill>
              <a:latin typeface="Aptos Narrow" panose="020B0004020202020204" pitchFamily="34" charset="0"/>
            </a:rPr>
            <a:t>Retailers</a:t>
          </a:r>
          <a:r>
            <a:rPr lang="en-US" sz="1400" b="1" baseline="0">
              <a:solidFill>
                <a:srgbClr val="150180"/>
              </a:solidFill>
              <a:latin typeface="Aptos Narrow" panose="020B0004020202020204" pitchFamily="34" charset="0"/>
            </a:rPr>
            <a:t> by</a:t>
          </a:r>
          <a:r>
            <a:rPr lang="en-US" sz="1400" b="1">
              <a:solidFill>
                <a:srgbClr val="150180"/>
              </a:solidFill>
              <a:latin typeface="Aptos Narrow" panose="020B0004020202020204" pitchFamily="34" charset="0"/>
            </a:rPr>
            <a:t> Sales</a:t>
          </a:r>
          <a:r>
            <a:rPr lang="en-US" sz="1400" b="1" baseline="0">
              <a:solidFill>
                <a:srgbClr val="150180"/>
              </a:solidFill>
              <a:latin typeface="Aptos Narrow" panose="020B0004020202020204" pitchFamily="34" charset="0"/>
            </a:rPr>
            <a:t> Performance </a:t>
          </a:r>
          <a:endParaRPr lang="en-US" sz="1400" b="1">
            <a:solidFill>
              <a:srgbClr val="150180"/>
            </a:solidFill>
            <a:latin typeface="Aptos Narrow" panose="020B0004020202020204" pitchFamily="34" charset="0"/>
          </a:endParaRPr>
        </a:p>
      </xdr:txBody>
    </xdr:sp>
    <xdr:clientData/>
  </xdr:twoCellAnchor>
  <xdr:twoCellAnchor>
    <xdr:from>
      <xdr:col>6</xdr:col>
      <xdr:colOff>276225</xdr:colOff>
      <xdr:row>20</xdr:row>
      <xdr:rowOff>28575</xdr:rowOff>
    </xdr:from>
    <xdr:to>
      <xdr:col>10</xdr:col>
      <xdr:colOff>114301</xdr:colOff>
      <xdr:row>21</xdr:row>
      <xdr:rowOff>152400</xdr:rowOff>
    </xdr:to>
    <xdr:sp macro="" textlink="">
      <xdr:nvSpPr>
        <xdr:cNvPr id="30" name="TextBox 29">
          <a:extLst>
            <a:ext uri="{FF2B5EF4-FFF2-40B4-BE49-F238E27FC236}">
              <a16:creationId xmlns:a16="http://schemas.microsoft.com/office/drawing/2014/main" id="{785AB59C-EC1A-A7A7-FB98-DCF248CFBB60}"/>
            </a:ext>
          </a:extLst>
        </xdr:cNvPr>
        <xdr:cNvSpPr txBox="1"/>
      </xdr:nvSpPr>
      <xdr:spPr>
        <a:xfrm>
          <a:off x="4391025" y="3648075"/>
          <a:ext cx="258127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baseline="0">
              <a:solidFill>
                <a:srgbClr val="150180"/>
              </a:solidFill>
              <a:latin typeface="Aptos Narrow" panose="020B0004020202020204" pitchFamily="34" charset="0"/>
            </a:rPr>
            <a:t>Profit by Sales Method </a:t>
          </a:r>
          <a:endParaRPr lang="en-US" sz="1400" b="1">
            <a:solidFill>
              <a:srgbClr val="150180"/>
            </a:solidFill>
            <a:latin typeface="Aptos Narrow" panose="020B0004020202020204" pitchFamily="34" charset="0"/>
          </a:endParaRPr>
        </a:p>
      </xdr:txBody>
    </xdr:sp>
    <xdr:clientData/>
  </xdr:twoCellAnchor>
  <xdr:twoCellAnchor>
    <xdr:from>
      <xdr:col>10</xdr:col>
      <xdr:colOff>276225</xdr:colOff>
      <xdr:row>20</xdr:row>
      <xdr:rowOff>28575</xdr:rowOff>
    </xdr:from>
    <xdr:to>
      <xdr:col>19</xdr:col>
      <xdr:colOff>19050</xdr:colOff>
      <xdr:row>21</xdr:row>
      <xdr:rowOff>152400</xdr:rowOff>
    </xdr:to>
    <xdr:sp macro="" textlink="">
      <xdr:nvSpPr>
        <xdr:cNvPr id="31" name="TextBox 30">
          <a:extLst>
            <a:ext uri="{FF2B5EF4-FFF2-40B4-BE49-F238E27FC236}">
              <a16:creationId xmlns:a16="http://schemas.microsoft.com/office/drawing/2014/main" id="{2558EC95-A82E-4078-0980-CDBC2846C1D9}"/>
            </a:ext>
          </a:extLst>
        </xdr:cNvPr>
        <xdr:cNvSpPr txBox="1"/>
      </xdr:nvSpPr>
      <xdr:spPr>
        <a:xfrm>
          <a:off x="7134225" y="3648075"/>
          <a:ext cx="59150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baseline="0">
              <a:solidFill>
                <a:srgbClr val="150180"/>
              </a:solidFill>
              <a:latin typeface="Aptos Narrow" panose="020B0004020202020204" pitchFamily="34" charset="0"/>
            </a:rPr>
            <a:t>Sales Performance by State </a:t>
          </a:r>
          <a:endParaRPr lang="en-US" sz="1400" b="1">
            <a:solidFill>
              <a:srgbClr val="150180"/>
            </a:solidFill>
            <a:latin typeface="Aptos Narrow" panose="020B0004020202020204" pitchFamily="34" charset="0"/>
          </a:endParaRPr>
        </a:p>
      </xdr:txBody>
    </xdr:sp>
    <xdr:clientData/>
  </xdr:twoCellAnchor>
  <xdr:twoCellAnchor>
    <xdr:from>
      <xdr:col>13</xdr:col>
      <xdr:colOff>238125</xdr:colOff>
      <xdr:row>9</xdr:row>
      <xdr:rowOff>95248</xdr:rowOff>
    </xdr:from>
    <xdr:to>
      <xdr:col>18</xdr:col>
      <xdr:colOff>600075</xdr:colOff>
      <xdr:row>20</xdr:row>
      <xdr:rowOff>142874</xdr:rowOff>
    </xdr:to>
    <xdr:graphicFrame macro="">
      <xdr:nvGraphicFramePr>
        <xdr:cNvPr id="33" name="Chart 32">
          <a:extLst>
            <a:ext uri="{FF2B5EF4-FFF2-40B4-BE49-F238E27FC236}">
              <a16:creationId xmlns:a16="http://schemas.microsoft.com/office/drawing/2014/main" id="{1346930A-4523-49EB-9517-6426777A0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419101</xdr:colOff>
      <xdr:row>8</xdr:row>
      <xdr:rowOff>123825</xdr:rowOff>
    </xdr:from>
    <xdr:to>
      <xdr:col>12</xdr:col>
      <xdr:colOff>666751</xdr:colOff>
      <xdr:row>20</xdr:row>
      <xdr:rowOff>9525</xdr:rowOff>
    </xdr:to>
    <xdr:graphicFrame macro="">
      <xdr:nvGraphicFramePr>
        <xdr:cNvPr id="34" name="Chart 33">
          <a:extLst>
            <a:ext uri="{FF2B5EF4-FFF2-40B4-BE49-F238E27FC236}">
              <a16:creationId xmlns:a16="http://schemas.microsoft.com/office/drawing/2014/main" id="{EC3ADE66-3BD9-40CB-B590-E43FB66EA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xdr:colOff>
      <xdr:row>8</xdr:row>
      <xdr:rowOff>47625</xdr:rowOff>
    </xdr:from>
    <xdr:to>
      <xdr:col>7</xdr:col>
      <xdr:colOff>238125</xdr:colOff>
      <xdr:row>20</xdr:row>
      <xdr:rowOff>38100</xdr:rowOff>
    </xdr:to>
    <xdr:graphicFrame macro="">
      <xdr:nvGraphicFramePr>
        <xdr:cNvPr id="35" name="Chart 34">
          <a:extLst>
            <a:ext uri="{FF2B5EF4-FFF2-40B4-BE49-F238E27FC236}">
              <a16:creationId xmlns:a16="http://schemas.microsoft.com/office/drawing/2014/main" id="{9DAFF19F-FB14-4C05-BCB7-BB802EE2A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266700</xdr:colOff>
      <xdr:row>1</xdr:row>
      <xdr:rowOff>152400</xdr:rowOff>
    </xdr:from>
    <xdr:to>
      <xdr:col>4</xdr:col>
      <xdr:colOff>666750</xdr:colOff>
      <xdr:row>4</xdr:row>
      <xdr:rowOff>9525</xdr:rowOff>
    </xdr:to>
    <xdr:sp macro="" textlink="">
      <xdr:nvSpPr>
        <xdr:cNvPr id="38" name="Oval 37">
          <a:extLst>
            <a:ext uri="{FF2B5EF4-FFF2-40B4-BE49-F238E27FC236}">
              <a16:creationId xmlns:a16="http://schemas.microsoft.com/office/drawing/2014/main" id="{8BAC8CD4-BAA8-8AAB-821E-78813334320A}"/>
            </a:ext>
          </a:extLst>
        </xdr:cNvPr>
        <xdr:cNvSpPr/>
      </xdr:nvSpPr>
      <xdr:spPr>
        <a:xfrm>
          <a:off x="3009900" y="333375"/>
          <a:ext cx="400050" cy="4000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485775</xdr:colOff>
      <xdr:row>2</xdr:row>
      <xdr:rowOff>9525</xdr:rowOff>
    </xdr:from>
    <xdr:to>
      <xdr:col>7</xdr:col>
      <xdr:colOff>200025</xdr:colOff>
      <xdr:row>4</xdr:row>
      <xdr:rowOff>47625</xdr:rowOff>
    </xdr:to>
    <xdr:sp macro="" textlink="">
      <xdr:nvSpPr>
        <xdr:cNvPr id="39" name="Oval 38">
          <a:extLst>
            <a:ext uri="{FF2B5EF4-FFF2-40B4-BE49-F238E27FC236}">
              <a16:creationId xmlns:a16="http://schemas.microsoft.com/office/drawing/2014/main" id="{8B8A33C7-583E-5007-5B0B-68435D6588E4}"/>
            </a:ext>
          </a:extLst>
        </xdr:cNvPr>
        <xdr:cNvSpPr/>
      </xdr:nvSpPr>
      <xdr:spPr>
        <a:xfrm>
          <a:off x="4600575" y="371475"/>
          <a:ext cx="400050" cy="4000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200025</xdr:colOff>
      <xdr:row>2</xdr:row>
      <xdr:rowOff>0</xdr:rowOff>
    </xdr:from>
    <xdr:to>
      <xdr:col>9</xdr:col>
      <xdr:colOff>600075</xdr:colOff>
      <xdr:row>4</xdr:row>
      <xdr:rowOff>38100</xdr:rowOff>
    </xdr:to>
    <xdr:sp macro="" textlink="">
      <xdr:nvSpPr>
        <xdr:cNvPr id="40" name="Oval 39">
          <a:extLst>
            <a:ext uri="{FF2B5EF4-FFF2-40B4-BE49-F238E27FC236}">
              <a16:creationId xmlns:a16="http://schemas.microsoft.com/office/drawing/2014/main" id="{F181CBB8-5640-D09A-AEE5-E9009765B442}"/>
            </a:ext>
          </a:extLst>
        </xdr:cNvPr>
        <xdr:cNvSpPr/>
      </xdr:nvSpPr>
      <xdr:spPr>
        <a:xfrm>
          <a:off x="6372225" y="361950"/>
          <a:ext cx="400050" cy="4000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123825</xdr:colOff>
      <xdr:row>1</xdr:row>
      <xdr:rowOff>161925</xdr:rowOff>
    </xdr:from>
    <xdr:to>
      <xdr:col>12</xdr:col>
      <xdr:colOff>523875</xdr:colOff>
      <xdr:row>4</xdr:row>
      <xdr:rowOff>19050</xdr:rowOff>
    </xdr:to>
    <xdr:sp macro="" textlink="">
      <xdr:nvSpPr>
        <xdr:cNvPr id="41" name="Oval 40">
          <a:extLst>
            <a:ext uri="{FF2B5EF4-FFF2-40B4-BE49-F238E27FC236}">
              <a16:creationId xmlns:a16="http://schemas.microsoft.com/office/drawing/2014/main" id="{A6542786-D696-1985-454C-26994D07170C}"/>
            </a:ext>
          </a:extLst>
        </xdr:cNvPr>
        <xdr:cNvSpPr/>
      </xdr:nvSpPr>
      <xdr:spPr>
        <a:xfrm>
          <a:off x="8353425" y="342900"/>
          <a:ext cx="400050" cy="4000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104776</xdr:colOff>
      <xdr:row>20</xdr:row>
      <xdr:rowOff>57150</xdr:rowOff>
    </xdr:from>
    <xdr:to>
      <xdr:col>5</xdr:col>
      <xdr:colOff>657225</xdr:colOff>
      <xdr:row>31</xdr:row>
      <xdr:rowOff>142875</xdr:rowOff>
    </xdr:to>
    <xdr:graphicFrame macro="">
      <xdr:nvGraphicFramePr>
        <xdr:cNvPr id="42" name="Chart 41">
          <a:extLst>
            <a:ext uri="{FF2B5EF4-FFF2-40B4-BE49-F238E27FC236}">
              <a16:creationId xmlns:a16="http://schemas.microsoft.com/office/drawing/2014/main" id="{C5548326-F63F-4CCB-B850-E7BDED02D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666750</xdr:colOff>
      <xdr:row>20</xdr:row>
      <xdr:rowOff>114300</xdr:rowOff>
    </xdr:from>
    <xdr:to>
      <xdr:col>10</xdr:col>
      <xdr:colOff>266700</xdr:colOff>
      <xdr:row>31</xdr:row>
      <xdr:rowOff>85725</xdr:rowOff>
    </xdr:to>
    <xdr:graphicFrame macro="">
      <xdr:nvGraphicFramePr>
        <xdr:cNvPr id="43" name="Chart 42">
          <a:extLst>
            <a:ext uri="{FF2B5EF4-FFF2-40B4-BE49-F238E27FC236}">
              <a16:creationId xmlns:a16="http://schemas.microsoft.com/office/drawing/2014/main" id="{AEED7FE2-6758-487D-9B51-3CFFB67B5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342900</xdr:colOff>
      <xdr:row>21</xdr:row>
      <xdr:rowOff>152400</xdr:rowOff>
    </xdr:from>
    <xdr:to>
      <xdr:col>18</xdr:col>
      <xdr:colOff>676275</xdr:colOff>
      <xdr:row>31</xdr:row>
      <xdr:rowOff>133349</xdr:rowOff>
    </xdr:to>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CD6C2A84-CA21-4B28-998D-DEE13154AF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200900" y="3952875"/>
              <a:ext cx="5819775" cy="17906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238126</xdr:colOff>
      <xdr:row>2</xdr:row>
      <xdr:rowOff>95251</xdr:rowOff>
    </xdr:from>
    <xdr:to>
      <xdr:col>2</xdr:col>
      <xdr:colOff>600076</xdr:colOff>
      <xdr:row>8</xdr:row>
      <xdr:rowOff>57151</xdr:rowOff>
    </xdr:to>
    <xdr:pic>
      <xdr:nvPicPr>
        <xdr:cNvPr id="46" name="Picture 45">
          <a:extLst>
            <a:ext uri="{FF2B5EF4-FFF2-40B4-BE49-F238E27FC236}">
              <a16:creationId xmlns:a16="http://schemas.microsoft.com/office/drawing/2014/main" id="{AA606635-3F44-98AA-377B-157D2C163B9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23926" y="457201"/>
          <a:ext cx="1047750" cy="1047750"/>
        </a:xfrm>
        <a:prstGeom prst="rect">
          <a:avLst/>
        </a:prstGeom>
      </xdr:spPr>
    </xdr:pic>
    <xdr:clientData/>
  </xdr:twoCellAnchor>
  <xdr:twoCellAnchor editAs="oneCell">
    <xdr:from>
      <xdr:col>12</xdr:col>
      <xdr:colOff>200025</xdr:colOff>
      <xdr:row>2</xdr:row>
      <xdr:rowOff>47625</xdr:rowOff>
    </xdr:from>
    <xdr:to>
      <xdr:col>12</xdr:col>
      <xdr:colOff>495300</xdr:colOff>
      <xdr:row>3</xdr:row>
      <xdr:rowOff>161925</xdr:rowOff>
    </xdr:to>
    <xdr:pic>
      <xdr:nvPicPr>
        <xdr:cNvPr id="48" name="Picture 47">
          <a:extLst>
            <a:ext uri="{FF2B5EF4-FFF2-40B4-BE49-F238E27FC236}">
              <a16:creationId xmlns:a16="http://schemas.microsoft.com/office/drawing/2014/main" id="{6D99BC2C-7C7E-C0F6-6595-513A6B5D2C3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429625" y="409575"/>
          <a:ext cx="295275" cy="295275"/>
        </a:xfrm>
        <a:prstGeom prst="rect">
          <a:avLst/>
        </a:prstGeom>
      </xdr:spPr>
    </xdr:pic>
    <xdr:clientData/>
  </xdr:twoCellAnchor>
  <xdr:twoCellAnchor editAs="oneCell">
    <xdr:from>
      <xdr:col>9</xdr:col>
      <xdr:colOff>238124</xdr:colOff>
      <xdr:row>2</xdr:row>
      <xdr:rowOff>89342</xdr:rowOff>
    </xdr:from>
    <xdr:to>
      <xdr:col>9</xdr:col>
      <xdr:colOff>561975</xdr:colOff>
      <xdr:row>4</xdr:row>
      <xdr:rowOff>51243</xdr:rowOff>
    </xdr:to>
    <xdr:pic>
      <xdr:nvPicPr>
        <xdr:cNvPr id="50" name="Picture 49">
          <a:extLst>
            <a:ext uri="{FF2B5EF4-FFF2-40B4-BE49-F238E27FC236}">
              <a16:creationId xmlns:a16="http://schemas.microsoft.com/office/drawing/2014/main" id="{C25AE1B9-B431-0F34-72AB-6730CAD4B0B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410324" y="451292"/>
          <a:ext cx="323851" cy="323851"/>
        </a:xfrm>
        <a:prstGeom prst="rect">
          <a:avLst/>
        </a:prstGeom>
      </xdr:spPr>
    </xdr:pic>
    <xdr:clientData/>
  </xdr:twoCellAnchor>
  <xdr:twoCellAnchor editAs="oneCell">
    <xdr:from>
      <xdr:col>4</xdr:col>
      <xdr:colOff>323851</xdr:colOff>
      <xdr:row>2</xdr:row>
      <xdr:rowOff>66676</xdr:rowOff>
    </xdr:from>
    <xdr:to>
      <xdr:col>4</xdr:col>
      <xdr:colOff>609600</xdr:colOff>
      <xdr:row>3</xdr:row>
      <xdr:rowOff>171450</xdr:rowOff>
    </xdr:to>
    <xdr:pic>
      <xdr:nvPicPr>
        <xdr:cNvPr id="52" name="Picture 51">
          <a:extLst>
            <a:ext uri="{FF2B5EF4-FFF2-40B4-BE49-F238E27FC236}">
              <a16:creationId xmlns:a16="http://schemas.microsoft.com/office/drawing/2014/main" id="{82DD3635-C595-4606-1D26-3AB80658C2F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067051" y="428626"/>
          <a:ext cx="285749" cy="285749"/>
        </a:xfrm>
        <a:prstGeom prst="rect">
          <a:avLst/>
        </a:prstGeom>
      </xdr:spPr>
    </xdr:pic>
    <xdr:clientData/>
  </xdr:twoCellAnchor>
  <xdr:twoCellAnchor editAs="oneCell">
    <xdr:from>
      <xdr:col>6</xdr:col>
      <xdr:colOff>523875</xdr:colOff>
      <xdr:row>2</xdr:row>
      <xdr:rowOff>47625</xdr:rowOff>
    </xdr:from>
    <xdr:to>
      <xdr:col>7</xdr:col>
      <xdr:colOff>152400</xdr:colOff>
      <xdr:row>4</xdr:row>
      <xdr:rowOff>0</xdr:rowOff>
    </xdr:to>
    <xdr:pic>
      <xdr:nvPicPr>
        <xdr:cNvPr id="54" name="Picture 53">
          <a:extLst>
            <a:ext uri="{FF2B5EF4-FFF2-40B4-BE49-F238E27FC236}">
              <a16:creationId xmlns:a16="http://schemas.microsoft.com/office/drawing/2014/main" id="{B17EC5F3-3F5C-84A8-C899-EC3ECA56A54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638675" y="409575"/>
          <a:ext cx="314325" cy="314325"/>
        </a:xfrm>
        <a:prstGeom prst="rect">
          <a:avLst/>
        </a:prstGeom>
      </xdr:spPr>
    </xdr:pic>
    <xdr:clientData/>
  </xdr:twoCellAnchor>
  <xdr:twoCellAnchor>
    <xdr:from>
      <xdr:col>1</xdr:col>
      <xdr:colOff>66676</xdr:colOff>
      <xdr:row>0</xdr:row>
      <xdr:rowOff>76200</xdr:rowOff>
    </xdr:from>
    <xdr:to>
      <xdr:col>8</xdr:col>
      <xdr:colOff>552450</xdr:colOff>
      <xdr:row>2</xdr:row>
      <xdr:rowOff>19050</xdr:rowOff>
    </xdr:to>
    <xdr:sp macro="" textlink="">
      <xdr:nvSpPr>
        <xdr:cNvPr id="55" name="TextBox 54">
          <a:extLst>
            <a:ext uri="{FF2B5EF4-FFF2-40B4-BE49-F238E27FC236}">
              <a16:creationId xmlns:a16="http://schemas.microsoft.com/office/drawing/2014/main" id="{4E934E5F-D290-293C-DA52-111346989775}"/>
            </a:ext>
          </a:extLst>
        </xdr:cNvPr>
        <xdr:cNvSpPr txBox="1"/>
      </xdr:nvSpPr>
      <xdr:spPr>
        <a:xfrm>
          <a:off x="752476" y="76200"/>
          <a:ext cx="528637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solidFill>
                <a:srgbClr val="150180"/>
              </a:solidFill>
              <a:latin typeface="Aptos Display" panose="020B0004020202020204" pitchFamily="34" charset="0"/>
            </a:rPr>
            <a:t>Adidas</a:t>
          </a:r>
          <a:r>
            <a:rPr lang="en-US" sz="2000" b="1" baseline="0">
              <a:solidFill>
                <a:srgbClr val="150180"/>
              </a:solidFill>
              <a:latin typeface="Aptos Display" panose="020B0004020202020204" pitchFamily="34" charset="0"/>
            </a:rPr>
            <a:t> Sales Performance Dashboard</a:t>
          </a:r>
          <a:endParaRPr lang="en-US" sz="2000" b="1">
            <a:solidFill>
              <a:srgbClr val="150180"/>
            </a:solidFill>
            <a:latin typeface="Aptos Display" panose="020B0004020202020204" pitchFamily="34" charset="0"/>
          </a:endParaRPr>
        </a:p>
      </xdr:txBody>
    </xdr:sp>
    <xdr:clientData/>
  </xdr:twoCellAnchor>
  <xdr:twoCellAnchor editAs="oneCell">
    <xdr:from>
      <xdr:col>14</xdr:col>
      <xdr:colOff>19050</xdr:colOff>
      <xdr:row>2</xdr:row>
      <xdr:rowOff>104775</xdr:rowOff>
    </xdr:from>
    <xdr:to>
      <xdr:col>19</xdr:col>
      <xdr:colOff>66676</xdr:colOff>
      <xdr:row>5</xdr:row>
      <xdr:rowOff>9525</xdr:rowOff>
    </xdr:to>
    <mc:AlternateContent xmlns:mc="http://schemas.openxmlformats.org/markup-compatibility/2006">
      <mc:Choice xmlns:a14="http://schemas.microsoft.com/office/drawing/2010/main" Requires="a14">
        <xdr:graphicFrame macro="">
          <xdr:nvGraphicFramePr>
            <xdr:cNvPr id="56" name="Region">
              <a:extLst>
                <a:ext uri="{FF2B5EF4-FFF2-40B4-BE49-F238E27FC236}">
                  <a16:creationId xmlns:a16="http://schemas.microsoft.com/office/drawing/2014/main" id="{67A5A5B9-7629-4BB1-96B6-BC360FE98AD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620250" y="466725"/>
              <a:ext cx="3476626" cy="447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152399</xdr:colOff>
      <xdr:row>0</xdr:row>
      <xdr:rowOff>28575</xdr:rowOff>
    </xdr:from>
    <xdr:to>
      <xdr:col>10</xdr:col>
      <xdr:colOff>609599</xdr:colOff>
      <xdr:row>2</xdr:row>
      <xdr:rowOff>76200</xdr:rowOff>
    </xdr:to>
    <mc:AlternateContent xmlns:mc="http://schemas.openxmlformats.org/markup-compatibility/2006">
      <mc:Choice xmlns:a14="http://schemas.microsoft.com/office/drawing/2010/main" Requires="a14">
        <xdr:graphicFrame macro="">
          <xdr:nvGraphicFramePr>
            <xdr:cNvPr id="57" name="Year">
              <a:extLst>
                <a:ext uri="{FF2B5EF4-FFF2-40B4-BE49-F238E27FC236}">
                  <a16:creationId xmlns:a16="http://schemas.microsoft.com/office/drawing/2014/main" id="{6E90F245-BC0B-436F-AADF-A05B446AB97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638799" y="28575"/>
              <a:ext cx="1828800" cy="409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628650</xdr:colOff>
      <xdr:row>0</xdr:row>
      <xdr:rowOff>38100</xdr:rowOff>
    </xdr:from>
    <xdr:to>
      <xdr:col>19</xdr:col>
      <xdr:colOff>57150</xdr:colOff>
      <xdr:row>2</xdr:row>
      <xdr:rowOff>76201</xdr:rowOff>
    </xdr:to>
    <mc:AlternateContent xmlns:mc="http://schemas.openxmlformats.org/markup-compatibility/2006">
      <mc:Choice xmlns:a14="http://schemas.microsoft.com/office/drawing/2010/main" Requires="a14">
        <xdr:graphicFrame macro="">
          <xdr:nvGraphicFramePr>
            <xdr:cNvPr id="58" name="Product">
              <a:extLst>
                <a:ext uri="{FF2B5EF4-FFF2-40B4-BE49-F238E27FC236}">
                  <a16:creationId xmlns:a16="http://schemas.microsoft.com/office/drawing/2014/main" id="{1251FEEF-3A5C-4D9A-851A-EFA958AC968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486650" y="38100"/>
              <a:ext cx="5600700" cy="400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28575</xdr:colOff>
      <xdr:row>4</xdr:row>
      <xdr:rowOff>142876</xdr:rowOff>
    </xdr:from>
    <xdr:to>
      <xdr:col>19</xdr:col>
      <xdr:colOff>47625</xdr:colOff>
      <xdr:row>8</xdr:row>
      <xdr:rowOff>28575</xdr:rowOff>
    </xdr:to>
    <mc:AlternateContent xmlns:mc="http://schemas.openxmlformats.org/markup-compatibility/2006">
      <mc:Choice xmlns:a14="http://schemas.microsoft.com/office/drawing/2010/main" Requires="a14">
        <xdr:graphicFrame macro="">
          <xdr:nvGraphicFramePr>
            <xdr:cNvPr id="59" name="Retailer">
              <a:extLst>
                <a:ext uri="{FF2B5EF4-FFF2-40B4-BE49-F238E27FC236}">
                  <a16:creationId xmlns:a16="http://schemas.microsoft.com/office/drawing/2014/main" id="{3B3C608B-6328-4BD9-AE96-F2A562FE6C1F}"/>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9629775" y="866776"/>
              <a:ext cx="3448050" cy="609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342900</xdr:colOff>
      <xdr:row>7</xdr:row>
      <xdr:rowOff>0</xdr:rowOff>
    </xdr:from>
    <xdr:to>
      <xdr:col>6</xdr:col>
      <xdr:colOff>38100</xdr:colOff>
      <xdr:row>9</xdr:row>
      <xdr:rowOff>133350</xdr:rowOff>
    </xdr:to>
    <xdr:sp macro="" textlink="">
      <xdr:nvSpPr>
        <xdr:cNvPr id="2" name="Rectangle 1">
          <a:extLst>
            <a:ext uri="{FF2B5EF4-FFF2-40B4-BE49-F238E27FC236}">
              <a16:creationId xmlns:a16="http://schemas.microsoft.com/office/drawing/2014/main" id="{B8209F9E-7705-0E12-E7F8-A2B592F63777}"/>
            </a:ext>
          </a:extLst>
        </xdr:cNvPr>
        <xdr:cNvSpPr/>
      </xdr:nvSpPr>
      <xdr:spPr>
        <a:xfrm>
          <a:off x="3086100" y="1266825"/>
          <a:ext cx="1066800" cy="495300"/>
        </a:xfrm>
        <a:prstGeom prst="rect">
          <a:avLst/>
        </a:prstGeom>
        <a:solidFill>
          <a:srgbClr val="FD81D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171450</xdr:colOff>
      <xdr:row>6</xdr:row>
      <xdr:rowOff>171450</xdr:rowOff>
    </xdr:from>
    <xdr:to>
      <xdr:col>7</xdr:col>
      <xdr:colOff>552450</xdr:colOff>
      <xdr:row>9</xdr:row>
      <xdr:rowOff>123825</xdr:rowOff>
    </xdr:to>
    <xdr:sp macro="" textlink="">
      <xdr:nvSpPr>
        <xdr:cNvPr id="3" name="Rectangle 2">
          <a:extLst>
            <a:ext uri="{FF2B5EF4-FFF2-40B4-BE49-F238E27FC236}">
              <a16:creationId xmlns:a16="http://schemas.microsoft.com/office/drawing/2014/main" id="{777716AA-76E8-393D-A7E7-08550C248ED7}"/>
            </a:ext>
          </a:extLst>
        </xdr:cNvPr>
        <xdr:cNvSpPr/>
      </xdr:nvSpPr>
      <xdr:spPr>
        <a:xfrm>
          <a:off x="4286250" y="1257300"/>
          <a:ext cx="1066800" cy="495300"/>
        </a:xfrm>
        <a:prstGeom prst="rect">
          <a:avLst/>
        </a:prstGeom>
        <a:solidFill>
          <a:srgbClr val="1501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6</xdr:row>
      <xdr:rowOff>161925</xdr:rowOff>
    </xdr:from>
    <xdr:to>
      <xdr:col>9</xdr:col>
      <xdr:colOff>381000</xdr:colOff>
      <xdr:row>9</xdr:row>
      <xdr:rowOff>114300</xdr:rowOff>
    </xdr:to>
    <xdr:sp macro="" textlink="">
      <xdr:nvSpPr>
        <xdr:cNvPr id="4" name="Rectangle 3">
          <a:extLst>
            <a:ext uri="{FF2B5EF4-FFF2-40B4-BE49-F238E27FC236}">
              <a16:creationId xmlns:a16="http://schemas.microsoft.com/office/drawing/2014/main" id="{608D2079-8883-37D3-A0C0-1784C3AD55BB}"/>
            </a:ext>
          </a:extLst>
        </xdr:cNvPr>
        <xdr:cNvSpPr/>
      </xdr:nvSpPr>
      <xdr:spPr>
        <a:xfrm>
          <a:off x="5486400" y="1247775"/>
          <a:ext cx="1066800" cy="495300"/>
        </a:xfrm>
        <a:prstGeom prst="rect">
          <a:avLst/>
        </a:prstGeom>
        <a:solidFill>
          <a:srgbClr val="AC953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514350</xdr:colOff>
      <xdr:row>6</xdr:row>
      <xdr:rowOff>152400</xdr:rowOff>
    </xdr:from>
    <xdr:to>
      <xdr:col>11</xdr:col>
      <xdr:colOff>209550</xdr:colOff>
      <xdr:row>9</xdr:row>
      <xdr:rowOff>104775</xdr:rowOff>
    </xdr:to>
    <xdr:sp macro="" textlink="">
      <xdr:nvSpPr>
        <xdr:cNvPr id="5" name="Rectangle 4">
          <a:extLst>
            <a:ext uri="{FF2B5EF4-FFF2-40B4-BE49-F238E27FC236}">
              <a16:creationId xmlns:a16="http://schemas.microsoft.com/office/drawing/2014/main" id="{1FB58D6C-EAE5-B161-DD9E-BEC8D48CC8DB}"/>
            </a:ext>
          </a:extLst>
        </xdr:cNvPr>
        <xdr:cNvSpPr/>
      </xdr:nvSpPr>
      <xdr:spPr>
        <a:xfrm>
          <a:off x="6686550" y="1238250"/>
          <a:ext cx="1066800" cy="495300"/>
        </a:xfrm>
        <a:prstGeom prst="rect">
          <a:avLst/>
        </a:prstGeom>
        <a:solidFill>
          <a:srgbClr val="E2121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342900</xdr:colOff>
      <xdr:row>6</xdr:row>
      <xdr:rowOff>142875</xdr:rowOff>
    </xdr:from>
    <xdr:to>
      <xdr:col>13</xdr:col>
      <xdr:colOff>38100</xdr:colOff>
      <xdr:row>9</xdr:row>
      <xdr:rowOff>95250</xdr:rowOff>
    </xdr:to>
    <xdr:sp macro="" textlink="">
      <xdr:nvSpPr>
        <xdr:cNvPr id="6" name="Rectangle 5">
          <a:extLst>
            <a:ext uri="{FF2B5EF4-FFF2-40B4-BE49-F238E27FC236}">
              <a16:creationId xmlns:a16="http://schemas.microsoft.com/office/drawing/2014/main" id="{070507D4-C095-7F1A-FB96-80553A3DEFF5}"/>
            </a:ext>
          </a:extLst>
        </xdr:cNvPr>
        <xdr:cNvSpPr/>
      </xdr:nvSpPr>
      <xdr:spPr>
        <a:xfrm>
          <a:off x="7886700" y="1228725"/>
          <a:ext cx="1066800" cy="495300"/>
        </a:xfrm>
        <a:prstGeom prst="rect">
          <a:avLst/>
        </a:prstGeom>
        <a:solidFill>
          <a:srgbClr val="FF550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631030671299" backgroundQuery="1" createdVersion="8" refreshedVersion="8" minRefreshableVersion="3" recordCount="0" supportSubquery="1" supportAdvancedDrill="1" xr:uid="{1A3F20F9-702B-4349-A1A7-04D8EF119997}">
  <cacheSource type="external" connectionId="3"/>
  <cacheFields count="4">
    <cacheField name="[Data Sales Adidas].[Product].[Product]" caption="Product" numFmtId="0" hierarchy="7" level="1">
      <sharedItems count="6">
        <s v="Men's Apparel"/>
        <s v="Men's Athletic Footwear"/>
        <s v="Men's Street Footwear"/>
        <s v="Women's Apparel"/>
        <s v="Women's Athletic Footwear"/>
        <s v="Women's Street Footwear"/>
      </sharedItems>
    </cacheField>
    <cacheField name="[Measures].[Total Sale]" caption="Total Sale" numFmtId="0" hierarchy="18" level="32767"/>
    <cacheField name="[Measures].[Total Operating Profit]" caption="Total Operating Profit" numFmtId="0" hierarchy="20" level="32767"/>
    <cacheField name="[Data Sales Adidas].[Retailer].[Retailer]" caption="Retailer" numFmtId="0" hierarchy="1" level="1">
      <sharedItems containsSemiMixedTypes="0" containsNonDate="0" containsString="0"/>
    </cacheField>
  </cacheFields>
  <cacheHierarchies count="25">
    <cacheHierarchy uniqueName="[A].[Measures]" caption="Measures" attribute="1" defaultMemberUniqueName="[A].[Measures].[All]" allUniqueName="[A].[Measures].[All]" dimensionUniqueName="[A]" displayFolder="" count="2" memberValueDatatype="130" unbalanced="0"/>
    <cacheHierarchy uniqueName="[Data Sales Adidas].[Retailer]" caption="Retailer" attribute="1" defaultMemberUniqueName="[Data Sales Adidas].[Retailer].[All]" allUniqueName="[Data Sales Adidas].[Retailer].[All]" dimensionUniqueName="[Data Sales Adidas]" displayFolder="" count="2" memberValueDatatype="130" unbalanced="0">
      <fieldsUsage count="2">
        <fieldUsage x="-1"/>
        <fieldUsage x="3"/>
      </fieldsUsage>
    </cacheHierarchy>
    <cacheHierarchy uniqueName="[Data Sales Adidas].[Retailer ID]" caption="Retailer ID" attribute="1" defaultMemberUniqueName="[Data Sales Adidas].[Retailer ID].[All]" allUniqueName="[Data Sales Adidas].[Retailer ID].[All]" dimensionUniqueName="[Data Sales Adidas]" displayFolder="" count="2" memberValueDatatype="20" unbalanced="0"/>
    <cacheHierarchy uniqueName="[Data Sales Adidas].[Invoice Date]" caption="Invoice Date" attribute="1" time="1" defaultMemberUniqueName="[Data Sales Adidas].[Invoice Date].[All]" allUniqueName="[Data Sales Adidas].[Invoice Date].[All]" dimensionUniqueName="[Data Sales Adidas]" displayFolder="" count="2"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cacheHierarchy uniqueName="[Data Sales Adidas].[State]" caption="State" attribute="1" defaultMemberUniqueName="[Data Sales Adidas].[State].[All]" allUniqueName="[Data Sales Adidas].[State].[All]" dimensionUniqueName="[Data Sales Adidas]" displayFolder="" count="2" memberValueDatatype="130" unbalanced="0"/>
    <cacheHierarchy uniqueName="[Data Sales Adidas].[City]" caption="City" attribute="1" defaultMemberUniqueName="[Data Sales Adidas].[City].[All]" allUniqueName="[Data Sales Adidas].[City].[All]" dimensionUniqueName="[Data Sales Adidas]" displayFolder="" count="2" memberValueDatatype="130" unbalanced="0"/>
    <cacheHierarchy uniqueName="[Data Sales Adidas].[Product]" caption="Product" attribute="1" defaultMemberUniqueName="[Data Sales Adidas].[Product].[All]" allUniqueName="[Data Sales Adidas].[Product].[All]" dimensionUniqueName="[Data Sales Adidas]" displayFolder="" count="2" memberValueDatatype="130" unbalanced="0">
      <fieldsUsage count="2">
        <fieldUsage x="-1"/>
        <fieldUsage x="0"/>
      </fieldsUsage>
    </cacheHierarchy>
    <cacheHierarchy uniqueName="[Data Sales Adidas].[Price per Unit]" caption="Price per Unit" attribute="1" defaultMemberUniqueName="[Data Sales Adidas].[Price per Unit].[All]" allUniqueName="[Data Sales Adidas].[Price per Unit].[All]" dimensionUniqueName="[Data Sales Adidas]" displayFolder="" count="2" memberValueDatatype="20" unbalanced="0"/>
    <cacheHierarchy uniqueName="[Data Sales Adidas].[Units Sold]" caption="Units Sold" attribute="1" defaultMemberUniqueName="[Data Sales Adidas].[Units Sold].[All]" allUniqueName="[Data Sales Adidas].[Units Sold].[All]" dimensionUniqueName="[Data Sales Adidas]" displayFolder="" count="2" memberValueDatatype="20" unbalanced="0"/>
    <cacheHierarchy uniqueName="[Data Sales Adidas].[Total Sales]" caption="Total Sales" attribute="1" defaultMemberUniqueName="[Data Sales Adidas].[Total Sales].[All]" allUniqueName="[Data Sales Adidas].[Total Sales].[All]" dimensionUniqueName="[Data Sales Adidas]" displayFolder="" count="2" memberValueDatatype="5" unbalanced="0"/>
    <cacheHierarchy uniqueName="[Data Sales Adidas].[Operating Profit]" caption="Operating Profit" attribute="1" defaultMemberUniqueName="[Data Sales Adidas].[Operating Profit].[All]" allUniqueName="[Data Sales Adidas].[Operating Profit].[All]" dimensionUniqueName="[Data Sales Adidas]" displayFolder="" count="2" memberValueDatatype="5" unbalanced="0"/>
    <cacheHierarchy uniqueName="[Data Sales Adidas].[Operating Margin]" caption="Operating Margin" attribute="1" defaultMemberUniqueName="[Data Sales Adidas].[Operating Margin].[All]" allUniqueName="[Data Sales Adidas].[Operating Margin].[All]" dimensionUniqueName="[Data Sales Adidas]" displayFolder="" count="2" memberValueDatatype="5" unbalanced="0"/>
    <cacheHierarchy uniqueName="[Data Sales Adidas].[Sales Method]" caption="Sales Method" attribute="1" defaultMemberUniqueName="[Data Sales Adidas].[Sales Method].[All]" allUniqueName="[Data Sales Adidas].[Sales Method].[All]" dimensionUniqueName="[Data Sales Adidas]" displayFolder="" count="2" memberValueDatatype="130" unbalanced="0"/>
    <cacheHierarchy uniqueName="[Data Sales Adidas].[Year]" caption="Year" attribute="1" defaultMemberUniqueName="[Data Sales Adidas].[Year].[All]" allUniqueName="[Data Sales Adidas].[Year].[All]" dimensionUniqueName="[Data Sales Adidas]" displayFolder="" count="2" memberValueDatatype="20" unbalanced="0"/>
    <cacheHierarchy uniqueName="[Data Sales Adidas].[Month No.]" caption="Month No." attribute="1" defaultMemberUniqueName="[Data Sales Adidas].[Month No.].[All]" allUniqueName="[Data Sales Adidas].[Month No.].[All]" dimensionUniqueName="[Data Sales Adidas]" displayFolder="" count="2" memberValueDatatype="20" unbalanced="0"/>
    <cacheHierarchy uniqueName="[Data Sales Adidas].[Month Name]" caption="Month Name" attribute="1" defaultMemberUniqueName="[Data Sales Adidas].[Month Name].[All]" allUniqueName="[Data Sales Adidas].[Month Name].[All]" dimensionUniqueName="[Data Sales Adidas]" displayFolder="" count="2" memberValueDatatype="130" unbalanced="0"/>
    <cacheHierarchy uniqueName="[Data Sales Adidas].[Month Short]" caption="Month Short" attribute="1" defaultMemberUniqueName="[Data Sales Adidas].[Month Short].[All]" allUniqueName="[Data Sales Adidas].[Month Short].[All]" dimensionUniqueName="[Data Sales Adidas]" displayFolder="" count="2" memberValueDatatype="130" unbalanced="0"/>
    <cacheHierarchy uniqueName="[Measures].[Total Sale]" caption="Total Sale" measure="1" displayFolder="" measureGroup="A" count="0" oneField="1">
      <fieldsUsage count="1">
        <fieldUsage x="1"/>
      </fieldsUsage>
    </cacheHierarchy>
    <cacheHierarchy uniqueName="[Measures].[Total Unit Sold]" caption="Total Unit Sold" measure="1" displayFolder="" measureGroup="A" count="0"/>
    <cacheHierarchy uniqueName="[Measures].[Total Operating Profit]" caption="Total Operating Profit" measure="1" displayFolder="" measureGroup="A" count="0" oneField="1">
      <fieldsUsage count="1">
        <fieldUsage x="2"/>
      </fieldsUsage>
    </cacheHierarchy>
    <cacheHierarchy uniqueName="[Measures].[Operatin Margin%]" caption="Operatin Margin%" measure="1" displayFolder="" measureGroup="A" count="0"/>
    <cacheHierarchy uniqueName="[Measures].[__XL_Count Data Sales Adidas]" caption="__XL_Count Data Sales Adidas" measure="1" displayFolder="" measureGroup="Data Sales Adidas"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3">
    <dimension name="A" uniqueName="[A]" caption="A"/>
    <dimension name="Data Sales Adidas" uniqueName="[Data Sales Adidas]" caption="Data Sales Adidas"/>
    <dimension measure="1" name="Measures" uniqueName="[Measures]" caption="Measures"/>
  </dimensions>
  <measureGroups count="2">
    <measureGroup name="A" caption="A"/>
    <measureGroup name="Data Sales Adidas" caption="Data Sales Adida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631031018522" backgroundQuery="1" createdVersion="8" refreshedVersion="8" minRefreshableVersion="3" recordCount="0" supportSubquery="1" supportAdvancedDrill="1" xr:uid="{564704C2-D654-4F04-96F3-8BD1130ECE58}">
  <cacheSource type="external" connectionId="3"/>
  <cacheFields count="5">
    <cacheField name="[Measures].[Total Sale]" caption="Total Sale" numFmtId="0" hierarchy="18" level="32767"/>
    <cacheField name="[Data Sales Adidas].[Region].[Region]" caption="Region" numFmtId="0" hierarchy="4" level="1">
      <sharedItems count="5">
        <s v="Midwest"/>
        <s v="Northeast"/>
        <s v="South"/>
        <s v="Southeast"/>
        <s v="West"/>
      </sharedItems>
    </cacheField>
    <cacheField name="[Measures].[Total Operating Profit]" caption="Total Operating Profit" numFmtId="0" hierarchy="20" level="32767"/>
    <cacheField name="[Data Sales Adidas].[Month Short].[Month Short]" caption="Month Short" numFmtId="0" hierarchy="17" level="1">
      <sharedItems count="12">
        <s v="Jan"/>
        <s v="Feb"/>
        <s v="Mar"/>
        <s v="Apr"/>
        <s v="May"/>
        <s v="Jun"/>
        <s v="Jul"/>
        <s v="Aug"/>
        <s v="Sep"/>
        <s v="Oct"/>
        <s v="Nov"/>
        <s v="Dec"/>
      </sharedItems>
    </cacheField>
    <cacheField name="[Data Sales Adidas].[Retailer].[Retailer]" caption="Retailer" numFmtId="0" hierarchy="1" level="1">
      <sharedItems containsSemiMixedTypes="0" containsNonDate="0" containsString="0"/>
    </cacheField>
  </cacheFields>
  <cacheHierarchies count="25">
    <cacheHierarchy uniqueName="[A].[Measures]" caption="Measures" attribute="1" defaultMemberUniqueName="[A].[Measures].[All]" allUniqueName="[A].[Measures].[All]" dimensionUniqueName="[A]"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2" memberValueDatatype="130" unbalanced="0">
      <fieldsUsage count="2">
        <fieldUsage x="-1"/>
        <fieldUsage x="4"/>
      </fieldsUsage>
    </cacheHierarchy>
    <cacheHierarchy uniqueName="[Data Sales Adidas].[Retailer ID]" caption="Retailer ID" attribute="1" defaultMemberUniqueName="[Data Sales Adidas].[Retailer ID].[All]" allUniqueName="[Data Sales Adidas].[Retailer ID].[All]" dimensionUniqueName="[Data Sales Adidas]" displayFolder="" count="0" memberValueDatatype="2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fieldsUsage count="2">
        <fieldUsage x="-1"/>
        <fieldUsage x="1"/>
      </fieldsUsage>
    </cacheHierarchy>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2"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20"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Operating Profit]" caption="Operating Profit" attribute="1" defaultMemberUniqueName="[Data Sales Adidas].[Operating Profit].[All]" allUniqueName="[Data Sales Adidas].[Operating Profit].[All]" dimensionUniqueName="[Data Sales Adidas]" displayFolder="" count="0" memberValueDatatype="5" unbalanced="0"/>
    <cacheHierarchy uniqueName="[Data Sales Adidas].[Operating Margin]" caption="Operating Margin" attribute="1" defaultMemberUniqueName="[Data Sales Adidas].[Operating Margin].[All]" allUniqueName="[Data Sales Adidas].[Operating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0" memberValueDatatype="130" unbalanced="0"/>
    <cacheHierarchy uniqueName="[Data Sales Adidas].[Year]" caption="Year" attribute="1" defaultMemberUniqueName="[Data Sales Adidas].[Year].[All]" allUniqueName="[Data Sales Adidas].[Year].[All]" dimensionUniqueName="[Data Sales Adidas]" displayFolder="" count="2" memberValueDatatype="20" unbalanced="0"/>
    <cacheHierarchy uniqueName="[Data Sales Adidas].[Month No.]" caption="Month No." attribute="1" defaultMemberUniqueName="[Data Sales Adidas].[Month No.].[All]" allUniqueName="[Data Sales Adidas].[Month No.].[All]" dimensionUniqueName="[Data Sales Adidas]" displayFolder="" count="0" memberValueDatatype="20" unbalanced="0"/>
    <cacheHierarchy uniqueName="[Data Sales Adidas].[Month Name]" caption="Month Name" attribute="1" defaultMemberUniqueName="[Data Sales Adidas].[Month Name].[All]" allUniqueName="[Data Sales Adidas].[Month Name].[All]" dimensionUniqueName="[Data Sales Adidas]" displayFolder="" count="0" memberValueDatatype="130" unbalanced="0"/>
    <cacheHierarchy uniqueName="[Data Sales Adidas].[Month Short]" caption="Month Short" attribute="1" defaultMemberUniqueName="[Data Sales Adidas].[Month Short].[All]" allUniqueName="[Data Sales Adidas].[Month Short].[All]" dimensionUniqueName="[Data Sales Adidas]" displayFolder="" count="2" memberValueDatatype="130" unbalanced="0">
      <fieldsUsage count="2">
        <fieldUsage x="-1"/>
        <fieldUsage x="3"/>
      </fieldsUsage>
    </cacheHierarchy>
    <cacheHierarchy uniqueName="[Measures].[Total Sale]" caption="Total Sale" measure="1" displayFolder="" measureGroup="A" count="0" oneField="1">
      <fieldsUsage count="1">
        <fieldUsage x="0"/>
      </fieldsUsage>
    </cacheHierarchy>
    <cacheHierarchy uniqueName="[Measures].[Total Unit Sold]" caption="Total Unit Sold" measure="1" displayFolder="" measureGroup="A" count="0"/>
    <cacheHierarchy uniqueName="[Measures].[Total Operating Profit]" caption="Total Operating Profit" measure="1" displayFolder="" measureGroup="A" count="0" oneField="1">
      <fieldsUsage count="1">
        <fieldUsage x="2"/>
      </fieldsUsage>
    </cacheHierarchy>
    <cacheHierarchy uniqueName="[Measures].[Operatin Margin%]" caption="Operatin Margin%" measure="1" displayFolder="" measureGroup="A" count="0"/>
    <cacheHierarchy uniqueName="[Measures].[__XL_Count Data Sales Adidas]" caption="__XL_Count Data Sales Adidas" measure="1" displayFolder="" measureGroup="Data Sales Adidas"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3">
    <dimension name="A" uniqueName="[A]" caption="A"/>
    <dimension name="Data Sales Adidas" uniqueName="[Data Sales Adidas]" caption="Data Sales Adidas"/>
    <dimension measure="1" name="Measures" uniqueName="[Measures]" caption="Measures"/>
  </dimensions>
  <measureGroups count="2">
    <measureGroup name="A" caption="A"/>
    <measureGroup name="Data Sales Adidas" caption="Data Sales Adida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631031365738" backgroundQuery="1" createdVersion="8" refreshedVersion="8" minRefreshableVersion="3" recordCount="0" supportSubquery="1" supportAdvancedDrill="1" xr:uid="{86C8B089-95D4-42BC-A816-9FAA7224ED50}">
  <cacheSource type="external" connectionId="3"/>
  <cacheFields count="5">
    <cacheField name="[Measures].[Total Sale]" caption="Total Sale" numFmtId="0" hierarchy="18" level="32767"/>
    <cacheField name="[Measures].[Total Unit Sold]" caption="Total Unit Sold" numFmtId="0" hierarchy="19" level="32767"/>
    <cacheField name="[Measures].[Total Operating Profit]" caption="Total Operating Profit" numFmtId="0" hierarchy="20" level="32767"/>
    <cacheField name="[Measures].[Operatin Margin%]" caption="Operatin Margin%" numFmtId="0" hierarchy="21" level="32767"/>
    <cacheField name="[Data Sales Adidas].[Retailer].[Retailer]" caption="Retailer" numFmtId="0" hierarchy="1" level="1">
      <sharedItems containsSemiMixedTypes="0" containsNonDate="0" containsString="0"/>
    </cacheField>
  </cacheFields>
  <cacheHierarchies count="25">
    <cacheHierarchy uniqueName="[A].[Measures]" caption="Measures" attribute="1" defaultMemberUniqueName="[A].[Measures].[All]" allUniqueName="[A].[Measures].[All]" dimensionUniqueName="[A]"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2" memberValueDatatype="130" unbalanced="0">
      <fieldsUsage count="2">
        <fieldUsage x="-1"/>
        <fieldUsage x="4"/>
      </fieldsUsage>
    </cacheHierarchy>
    <cacheHierarchy uniqueName="[Data Sales Adidas].[Retailer ID]" caption="Retailer ID" attribute="1" defaultMemberUniqueName="[Data Sales Adidas].[Retailer ID].[All]" allUniqueName="[Data Sales Adidas].[Retailer ID].[All]" dimensionUniqueName="[Data Sales Adidas]" displayFolder="" count="0" memberValueDatatype="2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2"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20"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Operating Profit]" caption="Operating Profit" attribute="1" defaultMemberUniqueName="[Data Sales Adidas].[Operating Profit].[All]" allUniqueName="[Data Sales Adidas].[Operating Profit].[All]" dimensionUniqueName="[Data Sales Adidas]" displayFolder="" count="0" memberValueDatatype="5" unbalanced="0"/>
    <cacheHierarchy uniqueName="[Data Sales Adidas].[Operating Margin]" caption="Operating Margin" attribute="1" defaultMemberUniqueName="[Data Sales Adidas].[Operating Margin].[All]" allUniqueName="[Data Sales Adidas].[Operating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0" memberValueDatatype="130" unbalanced="0"/>
    <cacheHierarchy uniqueName="[Data Sales Adidas].[Year]" caption="Year" attribute="1" defaultMemberUniqueName="[Data Sales Adidas].[Year].[All]" allUniqueName="[Data Sales Adidas].[Year].[All]" dimensionUniqueName="[Data Sales Adidas]" displayFolder="" count="2" memberValueDatatype="20" unbalanced="0"/>
    <cacheHierarchy uniqueName="[Data Sales Adidas].[Month No.]" caption="Month No." attribute="1" defaultMemberUniqueName="[Data Sales Adidas].[Month No.].[All]" allUniqueName="[Data Sales Adidas].[Month No.].[All]" dimensionUniqueName="[Data Sales Adidas]" displayFolder="" count="0" memberValueDatatype="20" unbalanced="0"/>
    <cacheHierarchy uniqueName="[Data Sales Adidas].[Month Name]" caption="Month Name" attribute="1" defaultMemberUniqueName="[Data Sales Adidas].[Month Name].[All]" allUniqueName="[Data Sales Adidas].[Month Name].[All]" dimensionUniqueName="[Data Sales Adidas]" displayFolder="" count="0" memberValueDatatype="130" unbalanced="0"/>
    <cacheHierarchy uniqueName="[Data Sales Adidas].[Month Short]" caption="Month Short" attribute="1" defaultMemberUniqueName="[Data Sales Adidas].[Month Short].[All]" allUniqueName="[Data Sales Adidas].[Month Short].[All]" dimensionUniqueName="[Data Sales Adidas]" displayFolder="" count="0" memberValueDatatype="130" unbalanced="0"/>
    <cacheHierarchy uniqueName="[Measures].[Total Sale]" caption="Total Sale" measure="1" displayFolder="" measureGroup="A" count="0" oneField="1">
      <fieldsUsage count="1">
        <fieldUsage x="0"/>
      </fieldsUsage>
    </cacheHierarchy>
    <cacheHierarchy uniqueName="[Measures].[Total Unit Sold]" caption="Total Unit Sold" measure="1" displayFolder="" measureGroup="A" count="0" oneField="1">
      <fieldsUsage count="1">
        <fieldUsage x="1"/>
      </fieldsUsage>
    </cacheHierarchy>
    <cacheHierarchy uniqueName="[Measures].[Total Operating Profit]" caption="Total Operating Profit" measure="1" displayFolder="" measureGroup="A" count="0" oneField="1">
      <fieldsUsage count="1">
        <fieldUsage x="2"/>
      </fieldsUsage>
    </cacheHierarchy>
    <cacheHierarchy uniqueName="[Measures].[Operatin Margin%]" caption="Operatin Margin%" measure="1" displayFolder="" measureGroup="A" count="0" oneField="1">
      <fieldsUsage count="1">
        <fieldUsage x="3"/>
      </fieldsUsage>
    </cacheHierarchy>
    <cacheHierarchy uniqueName="[Measures].[__XL_Count Data Sales Adidas]" caption="__XL_Count Data Sales Adidas" measure="1" displayFolder="" measureGroup="Data Sales Adidas"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3">
    <dimension name="A" uniqueName="[A]" caption="A"/>
    <dimension name="Data Sales Adidas" uniqueName="[Data Sales Adidas]" caption="Data Sales Adidas"/>
    <dimension measure="1" name="Measures" uniqueName="[Measures]" caption="Measures"/>
  </dimensions>
  <measureGroups count="2">
    <measureGroup name="A" caption="A"/>
    <measureGroup name="Data Sales Adidas" caption="Data Sales Adida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631031712961" backgroundQuery="1" createdVersion="8" refreshedVersion="8" minRefreshableVersion="3" recordCount="0" supportSubquery="1" supportAdvancedDrill="1" xr:uid="{6E099CF2-E55E-4A33-9A52-E221EB105D87}">
  <cacheSource type="external" connectionId="3"/>
  <cacheFields count="3">
    <cacheField name="[Data Sales Adidas].[Retailer].[Retailer]" caption="Retailer" numFmtId="0" hierarchy="1" level="1">
      <sharedItems count="6">
        <s v="Amazon"/>
        <s v="Foot Locker"/>
        <s v="Kohl's"/>
        <s v="Sports Direct"/>
        <s v="Walmart"/>
        <s v="West Gear"/>
      </sharedItems>
    </cacheField>
    <cacheField name="[Measures].[Total Sale]" caption="Total Sale" numFmtId="0" hierarchy="18" level="32767"/>
    <cacheField name="[Measures].[Total Operating Profit]" caption="Total Operating Profit" numFmtId="0" hierarchy="20" level="32767"/>
  </cacheFields>
  <cacheHierarchies count="25">
    <cacheHierarchy uniqueName="[A].[Measures]" caption="Measures" attribute="1" defaultMemberUniqueName="[A].[Measures].[All]" allUniqueName="[A].[Measures].[All]" dimensionUniqueName="[A]"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2" memberValueDatatype="130" unbalanced="0">
      <fieldsUsage count="2">
        <fieldUsage x="-1"/>
        <fieldUsage x="0"/>
      </fieldsUsage>
    </cacheHierarchy>
    <cacheHierarchy uniqueName="[Data Sales Adidas].[Retailer ID]" caption="Retailer ID" attribute="1" defaultMemberUniqueName="[Data Sales Adidas].[Retailer ID].[All]" allUniqueName="[Data Sales Adidas].[Retailer ID].[All]" dimensionUniqueName="[Data Sales Adidas]" displayFolder="" count="0" memberValueDatatype="2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2"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20"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Operating Profit]" caption="Operating Profit" attribute="1" defaultMemberUniqueName="[Data Sales Adidas].[Operating Profit].[All]" allUniqueName="[Data Sales Adidas].[Operating Profit].[All]" dimensionUniqueName="[Data Sales Adidas]" displayFolder="" count="0" memberValueDatatype="5" unbalanced="0"/>
    <cacheHierarchy uniqueName="[Data Sales Adidas].[Operating Margin]" caption="Operating Margin" attribute="1" defaultMemberUniqueName="[Data Sales Adidas].[Operating Margin].[All]" allUniqueName="[Data Sales Adidas].[Operating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0" memberValueDatatype="130" unbalanced="0"/>
    <cacheHierarchy uniqueName="[Data Sales Adidas].[Year]" caption="Year" attribute="1" defaultMemberUniqueName="[Data Sales Adidas].[Year].[All]" allUniqueName="[Data Sales Adidas].[Year].[All]" dimensionUniqueName="[Data Sales Adidas]" displayFolder="" count="2" memberValueDatatype="20" unbalanced="0"/>
    <cacheHierarchy uniqueName="[Data Sales Adidas].[Month No.]" caption="Month No." attribute="1" defaultMemberUniqueName="[Data Sales Adidas].[Month No.].[All]" allUniqueName="[Data Sales Adidas].[Month No.].[All]" dimensionUniqueName="[Data Sales Adidas]" displayFolder="" count="0" memberValueDatatype="20" unbalanced="0"/>
    <cacheHierarchy uniqueName="[Data Sales Adidas].[Month Name]" caption="Month Name" attribute="1" defaultMemberUniqueName="[Data Sales Adidas].[Month Name].[All]" allUniqueName="[Data Sales Adidas].[Month Name].[All]" dimensionUniqueName="[Data Sales Adidas]" displayFolder="" count="0" memberValueDatatype="130" unbalanced="0"/>
    <cacheHierarchy uniqueName="[Data Sales Adidas].[Month Short]" caption="Month Short" attribute="1" defaultMemberUniqueName="[Data Sales Adidas].[Month Short].[All]" allUniqueName="[Data Sales Adidas].[Month Short].[All]" dimensionUniqueName="[Data Sales Adidas]" displayFolder="" count="0" memberValueDatatype="130" unbalanced="0"/>
    <cacheHierarchy uniqueName="[Measures].[Total Sale]" caption="Total Sale" measure="1" displayFolder="" measureGroup="A" count="0" oneField="1">
      <fieldsUsage count="1">
        <fieldUsage x="1"/>
      </fieldsUsage>
    </cacheHierarchy>
    <cacheHierarchy uniqueName="[Measures].[Total Unit Sold]" caption="Total Unit Sold" measure="1" displayFolder="" measureGroup="A" count="0"/>
    <cacheHierarchy uniqueName="[Measures].[Total Operating Profit]" caption="Total Operating Profit" measure="1" displayFolder="" measureGroup="A" count="0" oneField="1">
      <fieldsUsage count="1">
        <fieldUsage x="2"/>
      </fieldsUsage>
    </cacheHierarchy>
    <cacheHierarchy uniqueName="[Measures].[Operatin Margin%]" caption="Operatin Margin%" measure="1" displayFolder="" measureGroup="A" count="0"/>
    <cacheHierarchy uniqueName="[Measures].[__XL_Count Data Sales Adidas]" caption="__XL_Count Data Sales Adidas" measure="1" displayFolder="" measureGroup="Data Sales Adidas"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3">
    <dimension name="A" uniqueName="[A]" caption="A"/>
    <dimension name="Data Sales Adidas" uniqueName="[Data Sales Adidas]" caption="Data Sales Adidas"/>
    <dimension measure="1" name="Measures" uniqueName="[Measures]" caption="Measures"/>
  </dimensions>
  <measureGroups count="2">
    <measureGroup name="A" caption="A"/>
    <measureGroup name="Data Sales Adidas" caption="Data Sales Adida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631032175923" backgroundQuery="1" createdVersion="8" refreshedVersion="8" minRefreshableVersion="3" recordCount="0" supportSubquery="1" supportAdvancedDrill="1" xr:uid="{D8E9D50B-B6B1-41F9-85EA-0E3B62B3C111}">
  <cacheSource type="external" connectionId="3"/>
  <cacheFields count="4">
    <cacheField name="[Measures].[Total Sale]" caption="Total Sale" numFmtId="0" hierarchy="18" level="32767"/>
    <cacheField name="[Data Sales Adidas].[Region].[Region]" caption="Region" numFmtId="0" hierarchy="4" level="1">
      <sharedItems count="5">
        <s v="Midwest"/>
        <s v="Northeast"/>
        <s v="South"/>
        <s v="Southeast"/>
        <s v="West"/>
      </sharedItems>
    </cacheField>
    <cacheField name="[Measures].[Total Operating Profit]" caption="Total Operating Profit" numFmtId="0" hierarchy="20" level="32767"/>
    <cacheField name="[Data Sales Adidas].[Retailer].[Retailer]" caption="Retailer" numFmtId="0" hierarchy="1" level="1">
      <sharedItems containsSemiMixedTypes="0" containsNonDate="0" containsString="0"/>
    </cacheField>
  </cacheFields>
  <cacheHierarchies count="25">
    <cacheHierarchy uniqueName="[A].[Measures]" caption="Measures" attribute="1" defaultMemberUniqueName="[A].[Measures].[All]" allUniqueName="[A].[Measures].[All]" dimensionUniqueName="[A]"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2" memberValueDatatype="130" unbalanced="0">
      <fieldsUsage count="2">
        <fieldUsage x="-1"/>
        <fieldUsage x="3"/>
      </fieldsUsage>
    </cacheHierarchy>
    <cacheHierarchy uniqueName="[Data Sales Adidas].[Retailer ID]" caption="Retailer ID" attribute="1" defaultMemberUniqueName="[Data Sales Adidas].[Retailer ID].[All]" allUniqueName="[Data Sales Adidas].[Retailer ID].[All]" dimensionUniqueName="[Data Sales Adidas]" displayFolder="" count="0" memberValueDatatype="2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fieldsUsage count="2">
        <fieldUsage x="-1"/>
        <fieldUsage x="1"/>
      </fieldsUsage>
    </cacheHierarchy>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2"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20"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Operating Profit]" caption="Operating Profit" attribute="1" defaultMemberUniqueName="[Data Sales Adidas].[Operating Profit].[All]" allUniqueName="[Data Sales Adidas].[Operating Profit].[All]" dimensionUniqueName="[Data Sales Adidas]" displayFolder="" count="0" memberValueDatatype="5" unbalanced="0"/>
    <cacheHierarchy uniqueName="[Data Sales Adidas].[Operating Margin]" caption="Operating Margin" attribute="1" defaultMemberUniqueName="[Data Sales Adidas].[Operating Margin].[All]" allUniqueName="[Data Sales Adidas].[Operating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0" memberValueDatatype="130" unbalanced="0"/>
    <cacheHierarchy uniqueName="[Data Sales Adidas].[Year]" caption="Year" attribute="1" defaultMemberUniqueName="[Data Sales Adidas].[Year].[All]" allUniqueName="[Data Sales Adidas].[Year].[All]" dimensionUniqueName="[Data Sales Adidas]" displayFolder="" count="2" memberValueDatatype="20" unbalanced="0"/>
    <cacheHierarchy uniqueName="[Data Sales Adidas].[Month No.]" caption="Month No." attribute="1" defaultMemberUniqueName="[Data Sales Adidas].[Month No.].[All]" allUniqueName="[Data Sales Adidas].[Month No.].[All]" dimensionUniqueName="[Data Sales Adidas]" displayFolder="" count="0" memberValueDatatype="20" unbalanced="0"/>
    <cacheHierarchy uniqueName="[Data Sales Adidas].[Month Name]" caption="Month Name" attribute="1" defaultMemberUniqueName="[Data Sales Adidas].[Month Name].[All]" allUniqueName="[Data Sales Adidas].[Month Name].[All]" dimensionUniqueName="[Data Sales Adidas]" displayFolder="" count="0" memberValueDatatype="130" unbalanced="0"/>
    <cacheHierarchy uniqueName="[Data Sales Adidas].[Month Short]" caption="Month Short" attribute="1" defaultMemberUniqueName="[Data Sales Adidas].[Month Short].[All]" allUniqueName="[Data Sales Adidas].[Month Short].[All]" dimensionUniqueName="[Data Sales Adidas]" displayFolder="" count="0" memberValueDatatype="130" unbalanced="0"/>
    <cacheHierarchy uniqueName="[Measures].[Total Sale]" caption="Total Sale" measure="1" displayFolder="" measureGroup="A" count="0" oneField="1">
      <fieldsUsage count="1">
        <fieldUsage x="0"/>
      </fieldsUsage>
    </cacheHierarchy>
    <cacheHierarchy uniqueName="[Measures].[Total Unit Sold]" caption="Total Unit Sold" measure="1" displayFolder="" measureGroup="A" count="0"/>
    <cacheHierarchy uniqueName="[Measures].[Total Operating Profit]" caption="Total Operating Profit" measure="1" displayFolder="" measureGroup="A" count="0" oneField="1">
      <fieldsUsage count="1">
        <fieldUsage x="2"/>
      </fieldsUsage>
    </cacheHierarchy>
    <cacheHierarchy uniqueName="[Measures].[Operatin Margin%]" caption="Operatin Margin%" measure="1" displayFolder="" measureGroup="A" count="0"/>
    <cacheHierarchy uniqueName="[Measures].[__XL_Count Data Sales Adidas]" caption="__XL_Count Data Sales Adidas" measure="1" displayFolder="" measureGroup="Data Sales Adidas"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3">
    <dimension name="A" uniqueName="[A]" caption="A"/>
    <dimension name="Data Sales Adidas" uniqueName="[Data Sales Adidas]" caption="Data Sales Adidas"/>
    <dimension measure="1" name="Measures" uniqueName="[Measures]" caption="Measures"/>
  </dimensions>
  <measureGroups count="2">
    <measureGroup name="A" caption="A"/>
    <measureGroup name="Data Sales Adidas" caption="Data Sales Adida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631032523146" backgroundQuery="1" createdVersion="8" refreshedVersion="8" minRefreshableVersion="3" recordCount="0" supportSubquery="1" supportAdvancedDrill="1" xr:uid="{7557C71A-2857-41D9-881C-85FE4EDC22EC}">
  <cacheSource type="external" connectionId="3"/>
  <cacheFields count="4">
    <cacheField name="[Measures].[Total Sale]" caption="Total Sale" numFmtId="0" hierarchy="18" level="32767"/>
    <cacheField name="[Data Sales Adidas].[Region].[Region]" caption="Region" numFmtId="0" hierarchy="4" level="1">
      <sharedItems count="5">
        <s v="Midwest"/>
        <s v="Northeast"/>
        <s v="South"/>
        <s v="Southeast"/>
        <s v="West"/>
      </sharedItems>
    </cacheField>
    <cacheField name="[Data Sales Adidas].[State].[State]" caption="State" numFmtId="0" hierarchy="5" level="1">
      <sharedItems count="50">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Data Sales Adidas].[Retailer].[Retailer]" caption="Retailer" numFmtId="0" hierarchy="1" level="1">
      <sharedItems containsSemiMixedTypes="0" containsNonDate="0" containsString="0"/>
    </cacheField>
  </cacheFields>
  <cacheHierarchies count="25">
    <cacheHierarchy uniqueName="[A].[Measures]" caption="Measures" attribute="1" defaultMemberUniqueName="[A].[Measures].[All]" allUniqueName="[A].[Measures].[All]" dimensionUniqueName="[A]"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2" memberValueDatatype="130" unbalanced="0">
      <fieldsUsage count="2">
        <fieldUsage x="-1"/>
        <fieldUsage x="3"/>
      </fieldsUsage>
    </cacheHierarchy>
    <cacheHierarchy uniqueName="[Data Sales Adidas].[Retailer ID]" caption="Retailer ID" attribute="1" defaultMemberUniqueName="[Data Sales Adidas].[Retailer ID].[All]" allUniqueName="[Data Sales Adidas].[Retailer ID].[All]" dimensionUniqueName="[Data Sales Adidas]" displayFolder="" count="0" memberValueDatatype="2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fieldsUsage count="2">
        <fieldUsage x="-1"/>
        <fieldUsage x="1"/>
      </fieldsUsage>
    </cacheHierarchy>
    <cacheHierarchy uniqueName="[Data Sales Adidas].[State]" caption="State" attribute="1" defaultMemberUniqueName="[Data Sales Adidas].[State].[All]" allUniqueName="[Data Sales Adidas].[State].[All]" dimensionUniqueName="[Data Sales Adidas]" displayFolder="" count="2" memberValueDatatype="130" unbalanced="0">
      <fieldsUsage count="2">
        <fieldUsage x="-1"/>
        <fieldUsage x="2"/>
      </fieldsUsage>
    </cacheHierarchy>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2"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20"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Operating Profit]" caption="Operating Profit" attribute="1" defaultMemberUniqueName="[Data Sales Adidas].[Operating Profit].[All]" allUniqueName="[Data Sales Adidas].[Operating Profit].[All]" dimensionUniqueName="[Data Sales Adidas]" displayFolder="" count="0" memberValueDatatype="5" unbalanced="0"/>
    <cacheHierarchy uniqueName="[Data Sales Adidas].[Operating Margin]" caption="Operating Margin" attribute="1" defaultMemberUniqueName="[Data Sales Adidas].[Operating Margin].[All]" allUniqueName="[Data Sales Adidas].[Operating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0" memberValueDatatype="130" unbalanced="0"/>
    <cacheHierarchy uniqueName="[Data Sales Adidas].[Year]" caption="Year" attribute="1" defaultMemberUniqueName="[Data Sales Adidas].[Year].[All]" allUniqueName="[Data Sales Adidas].[Year].[All]" dimensionUniqueName="[Data Sales Adidas]" displayFolder="" count="2" memberValueDatatype="20" unbalanced="0"/>
    <cacheHierarchy uniqueName="[Data Sales Adidas].[Month No.]" caption="Month No." attribute="1" defaultMemberUniqueName="[Data Sales Adidas].[Month No.].[All]" allUniqueName="[Data Sales Adidas].[Month No.].[All]" dimensionUniqueName="[Data Sales Adidas]" displayFolder="" count="0" memberValueDatatype="20" unbalanced="0"/>
    <cacheHierarchy uniqueName="[Data Sales Adidas].[Month Name]" caption="Month Name" attribute="1" defaultMemberUniqueName="[Data Sales Adidas].[Month Name].[All]" allUniqueName="[Data Sales Adidas].[Month Name].[All]" dimensionUniqueName="[Data Sales Adidas]" displayFolder="" count="0" memberValueDatatype="130" unbalanced="0"/>
    <cacheHierarchy uniqueName="[Data Sales Adidas].[Month Short]" caption="Month Short" attribute="1" defaultMemberUniqueName="[Data Sales Adidas].[Month Short].[All]" allUniqueName="[Data Sales Adidas].[Month Short].[All]" dimensionUniqueName="[Data Sales Adidas]" displayFolder="" count="0" memberValueDatatype="130" unbalanced="0"/>
    <cacheHierarchy uniqueName="[Measures].[Total Sale]" caption="Total Sale" measure="1" displayFolder="" measureGroup="A" count="0" oneField="1">
      <fieldsUsage count="1">
        <fieldUsage x="0"/>
      </fieldsUsage>
    </cacheHierarchy>
    <cacheHierarchy uniqueName="[Measures].[Total Unit Sold]" caption="Total Unit Sold" measure="1" displayFolder="" measureGroup="A" count="0"/>
    <cacheHierarchy uniqueName="[Measures].[Total Operating Profit]" caption="Total Operating Profit" measure="1" displayFolder="" measureGroup="A" count="0"/>
    <cacheHierarchy uniqueName="[Measures].[Operatin Margin%]" caption="Operatin Margin%" measure="1" displayFolder="" measureGroup="A" count="0"/>
    <cacheHierarchy uniqueName="[Measures].[__XL_Count Data Sales Adidas]" caption="__XL_Count Data Sales Adidas" measure="1" displayFolder="" measureGroup="Data Sales Adidas"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3">
    <dimension name="A" uniqueName="[A]" caption="A"/>
    <dimension name="Data Sales Adidas" uniqueName="[Data Sales Adidas]" caption="Data Sales Adidas"/>
    <dimension measure="1" name="Measures" uniqueName="[Measures]" caption="Measures"/>
  </dimensions>
  <measureGroups count="2">
    <measureGroup name="A" caption="A"/>
    <measureGroup name="Data Sales Adidas" caption="Data Sales Adida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631032870369" backgroundQuery="1" createdVersion="8" refreshedVersion="8" minRefreshableVersion="3" recordCount="0" supportSubquery="1" supportAdvancedDrill="1" xr:uid="{1B2B2EEE-E791-4BD2-897E-4BFB5D513897}">
  <cacheSource type="external" connectionId="3"/>
  <cacheFields count="3">
    <cacheField name="[Data Sales Adidas].[Sales Method].[Sales Method]" caption="Sales Method" numFmtId="0" hierarchy="13" level="1">
      <sharedItems count="3">
        <s v="In-store"/>
        <s v="Online"/>
        <s v="Outlet"/>
      </sharedItems>
    </cacheField>
    <cacheField name="[Measures].[Total Operating Profit]" caption="Total Operating Profit" numFmtId="0" hierarchy="20" level="32767"/>
    <cacheField name="[Data Sales Adidas].[Retailer].[Retailer]" caption="Retailer" numFmtId="0" hierarchy="1" level="1">
      <sharedItems containsSemiMixedTypes="0" containsNonDate="0" containsString="0"/>
    </cacheField>
  </cacheFields>
  <cacheHierarchies count="25">
    <cacheHierarchy uniqueName="[A].[Measures]" caption="Measures" attribute="1" defaultMemberUniqueName="[A].[Measures].[All]" allUniqueName="[A].[Measures].[All]" dimensionUniqueName="[A]"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2" memberValueDatatype="130" unbalanced="0">
      <fieldsUsage count="2">
        <fieldUsage x="-1"/>
        <fieldUsage x="2"/>
      </fieldsUsage>
    </cacheHierarchy>
    <cacheHierarchy uniqueName="[Data Sales Adidas].[Retailer ID]" caption="Retailer ID" attribute="1" defaultMemberUniqueName="[Data Sales Adidas].[Retailer ID].[All]" allUniqueName="[Data Sales Adidas].[Retailer ID].[All]" dimensionUniqueName="[Data Sales Adidas]" displayFolder="" count="0" memberValueDatatype="2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2"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20"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Operating Profit]" caption="Operating Profit" attribute="1" defaultMemberUniqueName="[Data Sales Adidas].[Operating Profit].[All]" allUniqueName="[Data Sales Adidas].[Operating Profit].[All]" dimensionUniqueName="[Data Sales Adidas]" displayFolder="" count="0" memberValueDatatype="5" unbalanced="0"/>
    <cacheHierarchy uniqueName="[Data Sales Adidas].[Operating Margin]" caption="Operating Margin" attribute="1" defaultMemberUniqueName="[Data Sales Adidas].[Operating Margin].[All]" allUniqueName="[Data Sales Adidas].[Operating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2" memberValueDatatype="130" unbalanced="0">
      <fieldsUsage count="2">
        <fieldUsage x="-1"/>
        <fieldUsage x="0"/>
      </fieldsUsage>
    </cacheHierarchy>
    <cacheHierarchy uniqueName="[Data Sales Adidas].[Year]" caption="Year" attribute="1" defaultMemberUniqueName="[Data Sales Adidas].[Year].[All]" allUniqueName="[Data Sales Adidas].[Year].[All]" dimensionUniqueName="[Data Sales Adidas]" displayFolder="" count="2" memberValueDatatype="20" unbalanced="0"/>
    <cacheHierarchy uniqueName="[Data Sales Adidas].[Month No.]" caption="Month No." attribute="1" defaultMemberUniqueName="[Data Sales Adidas].[Month No.].[All]" allUniqueName="[Data Sales Adidas].[Month No.].[All]" dimensionUniqueName="[Data Sales Adidas]" displayFolder="" count="0" memberValueDatatype="20" unbalanced="0"/>
    <cacheHierarchy uniqueName="[Data Sales Adidas].[Month Name]" caption="Month Name" attribute="1" defaultMemberUniqueName="[Data Sales Adidas].[Month Name].[All]" allUniqueName="[Data Sales Adidas].[Month Name].[All]" dimensionUniqueName="[Data Sales Adidas]" displayFolder="" count="0" memberValueDatatype="130" unbalanced="0"/>
    <cacheHierarchy uniqueName="[Data Sales Adidas].[Month Short]" caption="Month Short" attribute="1" defaultMemberUniqueName="[Data Sales Adidas].[Month Short].[All]" allUniqueName="[Data Sales Adidas].[Month Short].[All]" dimensionUniqueName="[Data Sales Adidas]" displayFolder="" count="0" memberValueDatatype="130" unbalanced="0"/>
    <cacheHierarchy uniqueName="[Measures].[Total Sale]" caption="Total Sale" measure="1" displayFolder="" measureGroup="A" count="0"/>
    <cacheHierarchy uniqueName="[Measures].[Total Unit Sold]" caption="Total Unit Sold" measure="1" displayFolder="" measureGroup="A" count="0"/>
    <cacheHierarchy uniqueName="[Measures].[Total Operating Profit]" caption="Total Operating Profit" measure="1" displayFolder="" measureGroup="A" count="0" oneField="1">
      <fieldsUsage count="1">
        <fieldUsage x="1"/>
      </fieldsUsage>
    </cacheHierarchy>
    <cacheHierarchy uniqueName="[Measures].[Operatin Margin%]" caption="Operatin Margin%" measure="1" displayFolder="" measureGroup="A" count="0"/>
    <cacheHierarchy uniqueName="[Measures].[__XL_Count Data Sales Adidas]" caption="__XL_Count Data Sales Adidas" measure="1" displayFolder="" measureGroup="Data Sales Adidas"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3">
    <dimension name="A" uniqueName="[A]" caption="A"/>
    <dimension name="Data Sales Adidas" uniqueName="[Data Sales Adidas]" caption="Data Sales Adidas"/>
    <dimension measure="1" name="Measures" uniqueName="[Measures]" caption="Measures"/>
  </dimensions>
  <measureGroups count="2">
    <measureGroup name="A" caption="A"/>
    <measureGroup name="Data Sales Adidas" caption="Data Sales Adida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574556134263" backgroundQuery="1" createdVersion="3" refreshedVersion="8" minRefreshableVersion="3" recordCount="0" supportSubquery="1" supportAdvancedDrill="1" xr:uid="{6195E2BC-935D-479C-A0D2-8BBF08CCEB0E}">
  <cacheSource type="external" connectionId="3">
    <extLst>
      <ext xmlns:x14="http://schemas.microsoft.com/office/spreadsheetml/2009/9/main" uri="{F057638F-6D5F-4e77-A914-E7F072B9BCA8}">
        <x14:sourceConnection name="ThisWorkbookDataModel"/>
      </ext>
    </extLst>
  </cacheSource>
  <cacheFields count="0"/>
  <cacheHierarchies count="25">
    <cacheHierarchy uniqueName="[A].[Measures]" caption="Measures" attribute="1" defaultMemberUniqueName="[A].[Measures].[All]" allUniqueName="[A].[Measures].[All]" dimensionUniqueName="[A]"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2" memberValueDatatype="130" unbalanced="0"/>
    <cacheHierarchy uniqueName="[Data Sales Adidas].[Retailer ID]" caption="Retailer ID" attribute="1" defaultMemberUniqueName="[Data Sales Adidas].[Retailer ID].[All]" allUniqueName="[Data Sales Adidas].[Retailer ID].[All]" dimensionUniqueName="[Data Sales Adidas]" displayFolder="" count="0" memberValueDatatype="2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2"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20"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Operating Profit]" caption="Operating Profit" attribute="1" defaultMemberUniqueName="[Data Sales Adidas].[Operating Profit].[All]" allUniqueName="[Data Sales Adidas].[Operating Profit].[All]" dimensionUniqueName="[Data Sales Adidas]" displayFolder="" count="0" memberValueDatatype="5" unbalanced="0"/>
    <cacheHierarchy uniqueName="[Data Sales Adidas].[Operating Margin]" caption="Operating Margin" attribute="1" defaultMemberUniqueName="[Data Sales Adidas].[Operating Margin].[All]" allUniqueName="[Data Sales Adidas].[Operating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0" memberValueDatatype="130" unbalanced="0"/>
    <cacheHierarchy uniqueName="[Data Sales Adidas].[Year]" caption="Year" attribute="1" defaultMemberUniqueName="[Data Sales Adidas].[Year].[All]" allUniqueName="[Data Sales Adidas].[Year].[All]" dimensionUniqueName="[Data Sales Adidas]" displayFolder="" count="2" memberValueDatatype="20" unbalanced="0"/>
    <cacheHierarchy uniqueName="[Data Sales Adidas].[Month No.]" caption="Month No." attribute="1" defaultMemberUniqueName="[Data Sales Adidas].[Month No.].[All]" allUniqueName="[Data Sales Adidas].[Month No.].[All]" dimensionUniqueName="[Data Sales Adidas]" displayFolder="" count="0" memberValueDatatype="20" unbalanced="0"/>
    <cacheHierarchy uniqueName="[Data Sales Adidas].[Month Name]" caption="Month Name" attribute="1" defaultMemberUniqueName="[Data Sales Adidas].[Month Name].[All]" allUniqueName="[Data Sales Adidas].[Month Name].[All]" dimensionUniqueName="[Data Sales Adidas]" displayFolder="" count="0" memberValueDatatype="130" unbalanced="0"/>
    <cacheHierarchy uniqueName="[Data Sales Adidas].[Month Short]" caption="Month Short" attribute="1" defaultMemberUniqueName="[Data Sales Adidas].[Month Short].[All]" allUniqueName="[Data Sales Adidas].[Month Short].[All]" dimensionUniqueName="[Data Sales Adidas]" displayFolder="" count="0" memberValueDatatype="130" unbalanced="0"/>
    <cacheHierarchy uniqueName="[Measures].[Total Sale]" caption="Total Sale" measure="1" displayFolder="" measureGroup="A" count="0"/>
    <cacheHierarchy uniqueName="[Measures].[Total Unit Sold]" caption="Total Unit Sold" measure="1" displayFolder="" measureGroup="A" count="0"/>
    <cacheHierarchy uniqueName="[Measures].[Total Operating Profit]" caption="Total Operating Profit" measure="1" displayFolder="" measureGroup="A" count="0"/>
    <cacheHierarchy uniqueName="[Measures].[Operatin Margin%]" caption="Operatin Margin%" measure="1" displayFolder="" measureGroup="A" count="0"/>
    <cacheHierarchy uniqueName="[Measures].[__XL_Count Data Sales Adidas]" caption="__XL_Count Data Sales Adidas" measure="1" displayFolder="" measureGroup="Data Sales Adidas"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37215513"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629072569442" backgroundQuery="1" createdVersion="3" refreshedVersion="8" minRefreshableVersion="3" recordCount="0" supportSubquery="1" supportAdvancedDrill="1" xr:uid="{189436CF-8233-4F40-B26D-8F35C30CF2FD}">
  <cacheSource type="external" connectionId="3">
    <extLst>
      <ext xmlns:x14="http://schemas.microsoft.com/office/spreadsheetml/2009/9/main" uri="{F057638F-6D5F-4e77-A914-E7F072B9BCA8}">
        <x14:sourceConnection name="ThisWorkbookDataModel"/>
      </ext>
    </extLst>
  </cacheSource>
  <cacheFields count="0"/>
  <cacheHierarchies count="25">
    <cacheHierarchy uniqueName="[A].[Measures]" caption="Measures" attribute="1" defaultMemberUniqueName="[A].[Measures].[All]" allUniqueName="[A].[Measures].[All]" dimensionUniqueName="[A]"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2" memberValueDatatype="130" unbalanced="0"/>
    <cacheHierarchy uniqueName="[Data Sales Adidas].[Retailer ID]" caption="Retailer ID" attribute="1" defaultMemberUniqueName="[Data Sales Adidas].[Retailer ID].[All]" allUniqueName="[Data Sales Adidas].[Retailer ID].[All]" dimensionUniqueName="[Data Sales Adidas]" displayFolder="" count="0" memberValueDatatype="2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0" memberValueDatatype="130" unbalanced="0"/>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0"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20"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Operating Profit]" caption="Operating Profit" attribute="1" defaultMemberUniqueName="[Data Sales Adidas].[Operating Profit].[All]" allUniqueName="[Data Sales Adidas].[Operating Profit].[All]" dimensionUniqueName="[Data Sales Adidas]" displayFolder="" count="0" memberValueDatatype="5" unbalanced="0"/>
    <cacheHierarchy uniqueName="[Data Sales Adidas].[Operating Margin]" caption="Operating Margin" attribute="1" defaultMemberUniqueName="[Data Sales Adidas].[Operating Margin].[All]" allUniqueName="[Data Sales Adidas].[Operating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0" memberValueDatatype="130" unbalanced="0"/>
    <cacheHierarchy uniqueName="[Data Sales Adidas].[Year]" caption="Year" attribute="1" defaultMemberUniqueName="[Data Sales Adidas].[Year].[All]" allUniqueName="[Data Sales Adidas].[Year].[All]" dimensionUniqueName="[Data Sales Adidas]" displayFolder="" count="0" memberValueDatatype="20" unbalanced="0"/>
    <cacheHierarchy uniqueName="[Data Sales Adidas].[Month No.]" caption="Month No." attribute="1" defaultMemberUniqueName="[Data Sales Adidas].[Month No.].[All]" allUniqueName="[Data Sales Adidas].[Month No.].[All]" dimensionUniqueName="[Data Sales Adidas]" displayFolder="" count="0" memberValueDatatype="20" unbalanced="0"/>
    <cacheHierarchy uniqueName="[Data Sales Adidas].[Month Name]" caption="Month Name" attribute="1" defaultMemberUniqueName="[Data Sales Adidas].[Month Name].[All]" allUniqueName="[Data Sales Adidas].[Month Name].[All]" dimensionUniqueName="[Data Sales Adidas]" displayFolder="" count="0" memberValueDatatype="130" unbalanced="0"/>
    <cacheHierarchy uniqueName="[Data Sales Adidas].[Month Short]" caption="Month Short" attribute="1" defaultMemberUniqueName="[Data Sales Adidas].[Month Short].[All]" allUniqueName="[Data Sales Adidas].[Month Short].[All]" dimensionUniqueName="[Data Sales Adidas]" displayFolder="" count="0" memberValueDatatype="130" unbalanced="0"/>
    <cacheHierarchy uniqueName="[Measures].[Total Sale]" caption="Total Sale" measure="1" displayFolder="" measureGroup="A" count="0"/>
    <cacheHierarchy uniqueName="[Measures].[Total Unit Sold]" caption="Total Unit Sold" measure="1" displayFolder="" measureGroup="A" count="0"/>
    <cacheHierarchy uniqueName="[Measures].[Total Operating Profit]" caption="Total Operating Profit" measure="1" displayFolder="" measureGroup="A" count="0"/>
    <cacheHierarchy uniqueName="[Measures].[Operatin Margin%]" caption="Operatin Margin%" measure="1" displayFolder="" measureGroup="A" count="0"/>
    <cacheHierarchy uniqueName="[Measures].[__XL_Count Data Sales Adidas]" caption="__XL_Count Data Sales Adidas" measure="1" displayFolder="" measureGroup="Data Sales Adidas"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536264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C04FB7-50EC-4B12-888C-ADF2C99721A6}" name="PivotTable9" cacheId="833" applyNumberFormats="0" applyBorderFormats="0" applyFontFormats="0" applyPatternFormats="0" applyAlignmentFormats="0" applyWidthHeightFormats="1" dataCaption="Values" tag="db6aae76-2629-4513-a516-207188bdee29" updatedVersion="8" minRefreshableVersion="3" useAutoFormatting="1" subtotalHiddenItems="1" itemPrintTitles="1" createdVersion="8" indent="0" compact="0" compactData="0" multipleFieldFilters="0" chartFormat="4">
  <location ref="V24:W28" firstHeaderRow="1" firstDataRow="1" firstDataCol="1"/>
  <pivotFields count="3">
    <pivotField axis="axisRow" compact="0" allDrilled="1" outline="0"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2"/>
    </i>
    <i>
      <x v="1"/>
    </i>
    <i t="grand">
      <x/>
    </i>
  </rowItems>
  <colItems count="1">
    <i/>
  </colItems>
  <dataFields count="1">
    <dataField fld="1" subtotal="count" baseField="0" baseItem="0" numFmtId="166"/>
  </dataFields>
  <formats count="1">
    <format dxfId="160">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25">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Data Sales 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200D2F-FF7B-4419-A9A1-29E720C32505}" name="Monthly" cacheId="818" applyNumberFormats="0" applyBorderFormats="0" applyFontFormats="0" applyPatternFormats="0" applyAlignmentFormats="0" applyWidthHeightFormats="1" dataCaption="Values" tag="6f2fb79c-3ea7-408f-8cc1-dd3a8f1363a5" updatedVersion="8" minRefreshableVersion="3" useAutoFormatting="1" itemPrintTitles="1" createdVersion="8" indent="0" compact="0" compactData="0" multipleFieldFilters="0" chartFormat="4">
  <location ref="AB14:AD27" firstHeaderRow="0" firstDataRow="1" firstDataCol="1"/>
  <pivotFields count="5">
    <pivotField dataField="1" compact="0" outline="0" subtotalTop="0" showAll="0" defaultSubtotal="0"/>
    <pivotField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fld="2" subtotal="count" baseField="0" baseItem="0"/>
  </dataFields>
  <formats count="1">
    <format dxfId="161">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5">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
        <x15:activeTabTopLevelEntity name="[Data Sales 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0667B5-33F0-4ECC-BE71-7D20BF6C8138}" name="PivotTable7" cacheId="830" applyNumberFormats="0" applyBorderFormats="0" applyFontFormats="0" applyPatternFormats="0" applyAlignmentFormats="0" applyWidthHeightFormats="1" dataCaption="Values" tag="dc787ca4-8154-4af9-b757-a3b7322bfb08" updatedVersion="8" minRefreshableVersion="3" useAutoFormatting="1" itemPrintTitles="1" createdVersion="8" indent="0" compact="0" compactData="0" multipleFieldFilters="0">
  <location ref="O25:P76" firstHeaderRow="1" firstDataRow="1" firstDataCol="1"/>
  <pivotFields count="4">
    <pivotField dataField="1" compact="0" outline="0" subtotalTop="0" showAll="0" defaultSubtotal="0"/>
    <pivotField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sortType="de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2"/>
  </rowFields>
  <rowItems count="51">
    <i>
      <x v="31"/>
    </i>
    <i>
      <x v="4"/>
    </i>
    <i>
      <x v="8"/>
    </i>
    <i>
      <x v="42"/>
    </i>
    <i>
      <x v="39"/>
    </i>
    <i>
      <x v="46"/>
    </i>
    <i>
      <x v="32"/>
    </i>
    <i>
      <x v="17"/>
    </i>
    <i>
      <x v="10"/>
    </i>
    <i>
      <x v="45"/>
    </i>
    <i>
      <x v="36"/>
    </i>
    <i>
      <x v="5"/>
    </i>
    <i>
      <x v="27"/>
    </i>
    <i>
      <x v="30"/>
    </i>
    <i>
      <x v="11"/>
    </i>
    <i>
      <x v="9"/>
    </i>
    <i>
      <x v="21"/>
    </i>
    <i>
      <x v="49"/>
    </i>
    <i>
      <x v="34"/>
    </i>
    <i>
      <x v="41"/>
    </i>
    <i>
      <x/>
    </i>
    <i>
      <x v="28"/>
    </i>
    <i>
      <x v="2"/>
    </i>
    <i>
      <x v="25"/>
    </i>
    <i>
      <x v="23"/>
    </i>
    <i>
      <x v="1"/>
    </i>
    <i>
      <x v="44"/>
    </i>
    <i>
      <x v="3"/>
    </i>
    <i>
      <x v="7"/>
    </i>
    <i>
      <x v="6"/>
    </i>
    <i>
      <x v="20"/>
    </i>
    <i>
      <x v="47"/>
    </i>
    <i>
      <x v="35"/>
    </i>
    <i>
      <x v="37"/>
    </i>
    <i>
      <x v="16"/>
    </i>
    <i>
      <x v="15"/>
    </i>
    <i>
      <x v="29"/>
    </i>
    <i>
      <x v="12"/>
    </i>
    <i>
      <x v="43"/>
    </i>
    <i>
      <x v="24"/>
    </i>
    <i>
      <x v="18"/>
    </i>
    <i>
      <x v="13"/>
    </i>
    <i>
      <x v="40"/>
    </i>
    <i>
      <x v="38"/>
    </i>
    <i>
      <x v="19"/>
    </i>
    <i>
      <x v="33"/>
    </i>
    <i>
      <x v="48"/>
    </i>
    <i>
      <x v="14"/>
    </i>
    <i>
      <x v="22"/>
    </i>
    <i>
      <x v="26"/>
    </i>
    <i t="grand">
      <x/>
    </i>
  </rowItems>
  <colItems count="1">
    <i/>
  </colItems>
  <dataFields count="1">
    <dataField fld="0" subtotal="count" baseField="0" baseItem="0" numFmtId="166"/>
  </dataFields>
  <formats count="1">
    <format dxfId="159">
      <pivotArea outline="0" collapsedLevelsAreSubtotals="1" fieldPosition="0"/>
    </format>
  </formats>
  <pivotHierarchies count="25">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Data Sales 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C53966-FFFB-4B6B-AF15-20E1F0B90660}" name="PivotTable6" cacheId="827" applyNumberFormats="0" applyBorderFormats="0" applyFontFormats="0" applyPatternFormats="0" applyAlignmentFormats="0" applyWidthHeightFormats="1" dataCaption="Values" tag="b5e5aa2a-1b93-4124-9bfb-c2e9b3aca300" updatedVersion="8" minRefreshableVersion="3" useAutoFormatting="1" itemPrintTitles="1" createdVersion="8" indent="0" compact="0" compactData="0" multipleFieldFilters="0" chartFormat="6">
  <location ref="O14:Q20" firstHeaderRow="0" firstDataRow="1" firstDataCol="1"/>
  <pivotFields count="4">
    <pivotField dataField="1" compact="0" outline="0" subtotalTop="0" showAll="0" defaultSubtotal="0"/>
    <pivotField axis="axisRow"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1"/>
  </rowFields>
  <rowItems count="6">
    <i>
      <x v="4"/>
    </i>
    <i>
      <x v="1"/>
    </i>
    <i>
      <x v="3"/>
    </i>
    <i>
      <x v="2"/>
    </i>
    <i>
      <x/>
    </i>
    <i t="grand">
      <x/>
    </i>
  </rowItems>
  <colFields count="1">
    <field x="-2"/>
  </colFields>
  <colItems count="2">
    <i>
      <x/>
    </i>
    <i i="1">
      <x v="1"/>
    </i>
  </colItems>
  <dataFields count="2">
    <dataField fld="0" subtotal="count" baseField="0" baseItem="0" numFmtId="166"/>
    <dataField fld="2" subtotal="count" baseField="0" baseItem="0"/>
  </dataFields>
  <formats count="1">
    <format dxfId="162">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Hierarchies count="25">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Data Sales 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9302A1-E78C-4ABA-9DE2-7EE639133941}" name="PivotTable5" cacheId="824" applyNumberFormats="0" applyBorderFormats="0" applyFontFormats="0" applyPatternFormats="0" applyAlignmentFormats="0" applyWidthHeightFormats="1" dataCaption="Values" tag="063fe02a-2c02-4393-bf06-28e43da55fc4" updatedVersion="8" minRefreshableVersion="3" useAutoFormatting="1" itemPrintTitles="1" createdVersion="8" indent="0" compact="0" compactData="0" multipleFieldFilters="0" chartFormat="4">
  <location ref="I26:K33" firstHeaderRow="0" firstDataRow="1" firstDataCol="1"/>
  <pivotFields count="3">
    <pivotField axis="axisRow" compact="0" allDrilled="1" outline="0"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compact="0" outline="0" subtotalTop="0" showAll="0" defaultSubtotal="0"/>
    <pivotField dataField="1" compact="0" outline="0" subtotalTop="0" showAll="0" defaultSubtotal="0"/>
  </pivotFields>
  <rowFields count="1">
    <field x="0"/>
  </rowFields>
  <rowItems count="7">
    <i>
      <x v="5"/>
    </i>
    <i>
      <x v="1"/>
    </i>
    <i>
      <x v="3"/>
    </i>
    <i>
      <x v="2"/>
    </i>
    <i>
      <x/>
    </i>
    <i>
      <x v="4"/>
    </i>
    <i t="grand">
      <x/>
    </i>
  </rowItems>
  <colFields count="1">
    <field x="-2"/>
  </colFields>
  <colItems count="2">
    <i>
      <x/>
    </i>
    <i i="1">
      <x v="1"/>
    </i>
  </colItems>
  <dataFields count="2">
    <dataField fld="1" subtotal="count" baseField="0" baseItem="0" numFmtId="166"/>
    <dataField fld="2" subtotal="count" baseField="0" baseItem="0"/>
  </dataFields>
  <formats count="1">
    <format dxfId="163">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Hierarchies count="25">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Data Sales 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AF9C36-A724-4F28-965D-9C2C0ECB8756}" name="PivotTable3" cacheId="815" applyNumberFormats="0" applyBorderFormats="0" applyFontFormats="0" applyPatternFormats="0" applyAlignmentFormats="0" applyWidthHeightFormats="1" dataCaption="Values" tag="35fb16a3-13f4-4b5c-96d1-572e8b9a3d70" updatedVersion="8" minRefreshableVersion="3" itemPrintTitles="1" createdVersion="8" indent="0" compact="0" compactData="0" multipleFieldFilters="0" chartFormat="9">
  <location ref="B24:D31" firstHeaderRow="0" firstDataRow="1" firstDataCol="1"/>
  <pivotFields count="4">
    <pivotField axis="axisRow" compact="0" allDrilled="1" outline="0"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7">
    <i>
      <x v="2"/>
    </i>
    <i>
      <x v="3"/>
    </i>
    <i>
      <x v="1"/>
    </i>
    <i>
      <x v="5"/>
    </i>
    <i>
      <x/>
    </i>
    <i>
      <x v="4"/>
    </i>
    <i t="grand">
      <x/>
    </i>
  </rowItems>
  <colFields count="1">
    <field x="-2"/>
  </colFields>
  <colItems count="2">
    <i>
      <x/>
    </i>
    <i i="1">
      <x v="1"/>
    </i>
  </colItems>
  <dataFields count="2">
    <dataField fld="1" subtotal="count" baseField="0" baseItem="0" numFmtId="166"/>
    <dataField fld="2" subtotal="count" baseField="0" baseItem="0"/>
  </dataFields>
  <formats count="1">
    <format dxfId="164">
      <pivotArea outline="0" collapsedLevelsAreSubtotals="1" fieldPosition="0"/>
    </format>
  </formats>
  <chartFormats count="2">
    <chartFormat chart="8"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s>
  <pivotHierarchies count="25">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Data Sales 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50380E-BEB3-4D5D-AA12-E593D1542864}" name="PivotTable1" cacheId="821" applyNumberFormats="0" applyBorderFormats="0" applyFontFormats="0" applyPatternFormats="0" applyAlignmentFormats="0" applyWidthHeightFormats="1" dataCaption="Values" tag="f2a1eea7-26ee-4a1c-8bf1-156647ed7bd4" updatedVersion="8" minRefreshableVersion="3" useAutoFormatting="1" itemPrintTitles="1" createdVersion="8" indent="0" outline="1" outlineData="1" multipleFieldFilters="0">
  <location ref="B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25">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2C720B-ECF3-4DBF-908E-79125889CFE8}" sourceName="[Data Sales Adidas].[Region]">
  <pivotTables>
    <pivotTable tabId="1" name="PivotTable3"/>
    <pivotTable tabId="1" name="Monthly"/>
    <pivotTable tabId="1" name="PivotTable1"/>
    <pivotTable tabId="1" name="PivotTable5"/>
    <pivotTable tabId="1" name="PivotTable6"/>
    <pivotTable tabId="1" name="PivotTable7"/>
    <pivotTable tabId="1" name="PivotTable9"/>
  </pivotTables>
  <data>
    <olap pivotCacheId="337215513">
      <levels count="2">
        <level uniqueName="[Data Sales Adidas].[Region].[(All)]" sourceCaption="(All)" count="0"/>
        <level uniqueName="[Data Sales Adidas].[Region].[Region]" sourceCaption="Region" count="5">
          <ranges>
            <range startItem="0">
              <i n="[Data Sales Adidas].[Region].&amp;[Midwest]" c="Midwest"/>
              <i n="[Data Sales Adidas].[Region].&amp;[Northeast]" c="Northeast"/>
              <i n="[Data Sales Adidas].[Region].&amp;[South]" c="South"/>
              <i n="[Data Sales Adidas].[Region].&amp;[Southeast]" c="Southeast"/>
              <i n="[Data Sales Adidas].[Region].&amp;[West]" c="West"/>
            </range>
          </ranges>
        </level>
      </levels>
      <selections count="1">
        <selection n="[Data Sales Adida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3B16045-66BA-472F-A7CB-6F32B5C40E1F}" sourceName="[Data Sales Adidas].[Year]">
  <pivotTables>
    <pivotTable tabId="1" name="PivotTable3"/>
    <pivotTable tabId="1" name="Monthly"/>
    <pivotTable tabId="1" name="PivotTable1"/>
    <pivotTable tabId="1" name="PivotTable5"/>
    <pivotTable tabId="1" name="PivotTable6"/>
    <pivotTable tabId="1" name="PivotTable7"/>
    <pivotTable tabId="1" name="PivotTable9"/>
  </pivotTables>
  <data>
    <olap pivotCacheId="337215513">
      <levels count="2">
        <level uniqueName="[Data Sales Adidas].[Year].[(All)]" sourceCaption="(All)" count="0"/>
        <level uniqueName="[Data Sales Adidas].[Year].[Year]" sourceCaption="Year" count="2">
          <ranges>
            <range startItem="0">
              <i n="[Data Sales Adidas].[Year].&amp;[2020]" c="2020"/>
              <i n="[Data Sales Adidas].[Year].&amp;[2021]" c="2021"/>
            </range>
          </ranges>
        </level>
      </levels>
      <selections count="1">
        <selection n="[Data Sales Adidas].[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D039842-0D72-4901-A2D4-D2E12C5F7B2D}" sourceName="[Data Sales Adidas].[Product]">
  <pivotTables>
    <pivotTable tabId="1" name="PivotTable3"/>
    <pivotTable tabId="1" name="Monthly"/>
    <pivotTable tabId="1" name="PivotTable1"/>
    <pivotTable tabId="1" name="PivotTable5"/>
    <pivotTable tabId="1" name="PivotTable6"/>
    <pivotTable tabId="1" name="PivotTable7"/>
    <pivotTable tabId="1" name="PivotTable9"/>
  </pivotTables>
  <data>
    <olap pivotCacheId="337215513">
      <levels count="2">
        <level uniqueName="[Data Sales Adidas].[Product].[(All)]" sourceCaption="(All)" count="0"/>
        <level uniqueName="[Data Sales Adidas].[Product].[Product]" sourceCaption="Product" count="6">
          <ranges>
            <range startItem="0">
              <i n="[Data Sales Adidas].[Product].&amp;[Men's Apparel]" c="Men's Apparel"/>
              <i n="[Data Sales Adidas].[Product].&amp;[Men's Athletic Footwear]" c="Men's Athletic Footwear"/>
              <i n="[Data Sales Adidas].[Product].&amp;[Men's Street Footwear]" c="Men's Street Footwear"/>
              <i n="[Data Sales Adidas].[Product].&amp;[Women's Apparel]" c="Women's Apparel"/>
              <i n="[Data Sales Adidas].[Product].&amp;[Women's Athletic Footwear]" c="Women's Athletic Footwear"/>
              <i n="[Data Sales Adidas].[Product].&amp;[Women's Street Footwear]" c="Women's Street Footwear"/>
            </range>
          </ranges>
        </level>
      </levels>
      <selections count="1">
        <selection n="[Data Sales Adidas].[Produc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83EC1DA9-A9AE-4EBB-AE06-5D927CCB0AE5}" sourceName="[Data Sales Adidas].[Retailer]">
  <pivotTables>
    <pivotTable tabId="1" name="PivotTable3"/>
    <pivotTable tabId="1" name="Monthly"/>
    <pivotTable tabId="1" name="PivotTable1"/>
    <pivotTable tabId="1" name="PivotTable5"/>
    <pivotTable tabId="1" name="PivotTable6"/>
    <pivotTable tabId="1" name="PivotTable7"/>
    <pivotTable tabId="1" name="PivotTable9"/>
  </pivotTables>
  <data>
    <olap pivotCacheId="753626455">
      <levels count="2">
        <level uniqueName="[Data Sales Adidas].[Retailer].[(All)]" sourceCaption="(All)" count="0"/>
        <level uniqueName="[Data Sales Adidas].[Retailer].[Retailer]" sourceCaption="Retailer" count="6">
          <ranges>
            <range startItem="0">
              <i n="[Data Sales Adidas].[Retailer].&amp;[Amazon]" c="Amazon"/>
              <i n="[Data Sales Adidas].[Retailer].&amp;[Foot Locker]" c="Foot Locker"/>
              <i n="[Data Sales Adidas].[Retailer].&amp;[Kohl's]" c="Kohl's"/>
              <i n="[Data Sales Adidas].[Retailer].&amp;[Sports Direct]" c="Sports Direct"/>
              <i n="[Data Sales Adidas].[Retailer].&amp;[Walmart]" c="Walmart"/>
              <i n="[Data Sales Adidas].[Retailer].&amp;[West Gear]" c="West Gear"/>
            </range>
          </ranges>
        </level>
      </levels>
      <selections count="1">
        <selection n="[Data Sales Adidas].[Retail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150C1E0-E5F6-435E-B0A9-B1DD7C0D8938}" cache="Slicer_Region" caption="Region" columnCount="5" showCaption="0" level="1" style="SlicerStyleDark1" rowHeight="241300"/>
  <slicer name="Year" xr10:uid="{683E113F-3BD5-437D-94FA-F9183B859A11}" cache="Slicer_Year" caption="Year" columnCount="2" showCaption="0" level="1" style="SlicerStyleDark1" rowHeight="241300"/>
  <slicer name="Product" xr10:uid="{2D757ACF-2269-445E-9790-B7B693EE4163}" cache="Slicer_Product" caption="Product" columnCount="6" showCaption="0" level="1" style="SlicerStyleDark1" rowHeight="241300"/>
  <slicer name="Retailer" xr10:uid="{853F786C-8E85-4CAB-8DEA-5B230C945612}" cache="Slicer_Retailer" caption="Retailer" columnCount="3" showCaption="0" level="1"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2C75C-F75A-4660-9500-3CA01D0E15C0}">
  <dimension ref="B3:AD76"/>
  <sheetViews>
    <sheetView workbookViewId="0">
      <selection activeCell="D24" sqref="D24"/>
    </sheetView>
  </sheetViews>
  <sheetFormatPr defaultRowHeight="14.25" x14ac:dyDescent="0.2"/>
  <cols>
    <col min="2" max="2" width="12.375" bestFit="1" customWidth="1"/>
    <col min="3" max="3" width="14.125" bestFit="1" customWidth="1"/>
    <col min="4" max="4" width="20.375" bestFit="1" customWidth="1"/>
    <col min="5" max="5" width="17.125" bestFit="1" customWidth="1"/>
    <col min="9" max="9" width="11.625" bestFit="1" customWidth="1"/>
    <col min="10" max="10" width="9.75" bestFit="1" customWidth="1"/>
    <col min="11" max="11" width="20.375" bestFit="1" customWidth="1"/>
    <col min="15" max="15" width="14" bestFit="1" customWidth="1"/>
    <col min="16" max="16" width="9.75" bestFit="1" customWidth="1"/>
    <col min="17" max="17" width="20.375" bestFit="1" customWidth="1"/>
    <col min="19" max="19" width="13.375" customWidth="1"/>
    <col min="20" max="20" width="10.875" customWidth="1"/>
    <col min="22" max="22" width="15.125" bestFit="1" customWidth="1"/>
    <col min="23" max="23" width="20.375" bestFit="1" customWidth="1"/>
    <col min="28" max="28" width="13.875" bestFit="1" customWidth="1"/>
    <col min="29" max="29" width="9.75" bestFit="1" customWidth="1"/>
    <col min="30" max="31" width="20.375" bestFit="1" customWidth="1"/>
  </cols>
  <sheetData>
    <row r="3" spans="2:30" x14ac:dyDescent="0.2">
      <c r="B3" t="s">
        <v>0</v>
      </c>
      <c r="C3" t="s">
        <v>1</v>
      </c>
      <c r="D3" t="s">
        <v>2</v>
      </c>
      <c r="E3" t="s">
        <v>3</v>
      </c>
    </row>
    <row r="4" spans="2:30" x14ac:dyDescent="0.2">
      <c r="B4" s="1">
        <v>899902125</v>
      </c>
      <c r="C4" s="1">
        <v>2478861</v>
      </c>
      <c r="D4" s="1">
        <v>332134761.44999921</v>
      </c>
      <c r="E4" s="1">
        <v>0.42299129353233994</v>
      </c>
    </row>
    <row r="6" spans="2:30" x14ac:dyDescent="0.2">
      <c r="B6" s="5">
        <f>GETPIVOTDATA("[Measures].[Total Sale]",$B$3)</f>
        <v>899902125</v>
      </c>
      <c r="C6" s="3">
        <f>GETPIVOTDATA("[Measures].[Total Unit Sold]",$B$3)</f>
        <v>2478861</v>
      </c>
      <c r="D6" s="5">
        <f>GETPIVOTDATA("[Measures].[Total Operating Profit]",$B$3)</f>
        <v>332134761.44999921</v>
      </c>
      <c r="E6" s="4">
        <f>GETPIVOTDATA("[Measures].[Operatin Margin%]",$B$3)</f>
        <v>0.42299129353233994</v>
      </c>
    </row>
    <row r="14" spans="2:30" x14ac:dyDescent="0.2">
      <c r="O14" s="2" t="s">
        <v>19</v>
      </c>
      <c r="P14" t="s">
        <v>0</v>
      </c>
      <c r="Q14" t="s">
        <v>2</v>
      </c>
      <c r="AB14" s="2" t="s">
        <v>80</v>
      </c>
      <c r="AC14" t="s">
        <v>0</v>
      </c>
      <c r="AD14" t="s">
        <v>2</v>
      </c>
    </row>
    <row r="15" spans="2:30" x14ac:dyDescent="0.2">
      <c r="O15" t="s">
        <v>24</v>
      </c>
      <c r="P15" s="5">
        <v>269943182</v>
      </c>
      <c r="Q15" s="5">
        <v>89609406.550000042</v>
      </c>
      <c r="AB15" t="s">
        <v>85</v>
      </c>
      <c r="AC15" s="6">
        <v>71479142</v>
      </c>
      <c r="AD15" s="6">
        <v>25141934.509999998</v>
      </c>
    </row>
    <row r="16" spans="2:30" x14ac:dyDescent="0.2">
      <c r="O16" t="s">
        <v>21</v>
      </c>
      <c r="P16" s="5">
        <v>186324067</v>
      </c>
      <c r="Q16" s="5">
        <v>68020587.650000066</v>
      </c>
      <c r="AB16" t="s">
        <v>84</v>
      </c>
      <c r="AC16" s="6">
        <v>61100153</v>
      </c>
      <c r="AD16" s="6">
        <v>21392736.699999999</v>
      </c>
    </row>
    <row r="17" spans="2:30" x14ac:dyDescent="0.2">
      <c r="O17" t="s">
        <v>23</v>
      </c>
      <c r="P17" s="5">
        <v>163171236</v>
      </c>
      <c r="Q17" s="5">
        <v>60555416.700000018</v>
      </c>
      <c r="AB17" t="s">
        <v>88</v>
      </c>
      <c r="AC17" s="6">
        <v>56809109</v>
      </c>
      <c r="AD17" s="6">
        <v>20439788.000000011</v>
      </c>
    </row>
    <row r="18" spans="2:30" x14ac:dyDescent="0.2">
      <c r="O18" t="s">
        <v>22</v>
      </c>
      <c r="P18" s="5">
        <v>144663181</v>
      </c>
      <c r="Q18" s="5">
        <v>61138004.070000045</v>
      </c>
      <c r="AB18" t="s">
        <v>81</v>
      </c>
      <c r="AC18" s="6">
        <v>72339970</v>
      </c>
      <c r="AD18" s="6">
        <v>27559237.310000006</v>
      </c>
    </row>
    <row r="19" spans="2:30" x14ac:dyDescent="0.2">
      <c r="O19" t="s">
        <v>20</v>
      </c>
      <c r="P19" s="5">
        <v>135800459</v>
      </c>
      <c r="Q19" s="5">
        <v>52811346.480000004</v>
      </c>
      <c r="AB19" t="s">
        <v>89</v>
      </c>
      <c r="AC19" s="6">
        <v>80507695</v>
      </c>
      <c r="AD19" s="6">
        <v>29946255.329999976</v>
      </c>
    </row>
    <row r="20" spans="2:30" x14ac:dyDescent="0.2">
      <c r="O20" t="s">
        <v>10</v>
      </c>
      <c r="P20" s="5">
        <v>899902125</v>
      </c>
      <c r="Q20" s="5">
        <v>332134761.44999921</v>
      </c>
      <c r="AB20" t="s">
        <v>87</v>
      </c>
      <c r="AC20" s="6">
        <v>74747372</v>
      </c>
      <c r="AD20" s="6">
        <v>26714715.920000002</v>
      </c>
    </row>
    <row r="21" spans="2:30" x14ac:dyDescent="0.2">
      <c r="AB21" t="s">
        <v>86</v>
      </c>
      <c r="AC21" s="6">
        <v>95480694</v>
      </c>
      <c r="AD21" s="6">
        <v>34054898.590000033</v>
      </c>
    </row>
    <row r="22" spans="2:30" x14ac:dyDescent="0.2">
      <c r="AB22" t="s">
        <v>82</v>
      </c>
      <c r="AC22" s="6">
        <v>92166201</v>
      </c>
      <c r="AD22" s="6">
        <v>34451440.300000019</v>
      </c>
    </row>
    <row r="23" spans="2:30" x14ac:dyDescent="0.2">
      <c r="AB23" t="s">
        <v>92</v>
      </c>
      <c r="AC23" s="6">
        <v>77661459</v>
      </c>
      <c r="AD23" s="6">
        <v>31009586.730000008</v>
      </c>
    </row>
    <row r="24" spans="2:30" x14ac:dyDescent="0.2">
      <c r="B24" s="2" t="s">
        <v>11</v>
      </c>
      <c r="C24" t="s">
        <v>0</v>
      </c>
      <c r="D24" t="s">
        <v>2</v>
      </c>
      <c r="V24" s="2" t="s">
        <v>76</v>
      </c>
      <c r="W24" t="s">
        <v>2</v>
      </c>
      <c r="AB24" t="s">
        <v>91</v>
      </c>
      <c r="AC24" s="6">
        <v>63911033</v>
      </c>
      <c r="AD24" s="6">
        <v>25078444.599999975</v>
      </c>
    </row>
    <row r="25" spans="2:30" x14ac:dyDescent="0.2">
      <c r="B25" t="s">
        <v>6</v>
      </c>
      <c r="C25" s="5">
        <v>208826244</v>
      </c>
      <c r="D25" s="5">
        <v>82802260.619999841</v>
      </c>
      <c r="O25" s="2" t="s">
        <v>25</v>
      </c>
      <c r="P25" t="s">
        <v>0</v>
      </c>
      <c r="R25" t="str">
        <f>O25</f>
        <v>State</v>
      </c>
      <c r="S25" t="str">
        <f>P25</f>
        <v>Total Sale</v>
      </c>
      <c r="V25" t="s">
        <v>77</v>
      </c>
      <c r="W25" s="5">
        <v>127591287.5</v>
      </c>
      <c r="AB25" t="s">
        <v>90</v>
      </c>
      <c r="AC25" s="6">
        <v>67857340</v>
      </c>
      <c r="AD25" s="6">
        <v>24755521.43</v>
      </c>
    </row>
    <row r="26" spans="2:30" x14ac:dyDescent="0.2">
      <c r="B26" t="s">
        <v>7</v>
      </c>
      <c r="C26" s="5">
        <v>179038860</v>
      </c>
      <c r="D26" s="5">
        <v>68650970.560000062</v>
      </c>
      <c r="I26" s="2" t="s">
        <v>12</v>
      </c>
      <c r="J26" t="s">
        <v>0</v>
      </c>
      <c r="K26" t="s">
        <v>2</v>
      </c>
      <c r="O26" t="s">
        <v>57</v>
      </c>
      <c r="P26" s="5">
        <v>64229039</v>
      </c>
      <c r="R26" t="str">
        <f t="shared" ref="R26:R84" si="0">O26</f>
        <v>New York</v>
      </c>
      <c r="S26">
        <f t="shared" ref="S26:S84" si="1">P26</f>
        <v>64229039</v>
      </c>
      <c r="V26" t="s">
        <v>79</v>
      </c>
      <c r="W26" s="5">
        <v>107988297.48000003</v>
      </c>
      <c r="AB26" t="s">
        <v>83</v>
      </c>
      <c r="AC26" s="6">
        <v>85841957</v>
      </c>
      <c r="AD26" s="6">
        <v>31590202.030000001</v>
      </c>
    </row>
    <row r="27" spans="2:30" x14ac:dyDescent="0.2">
      <c r="B27" t="s">
        <v>5</v>
      </c>
      <c r="C27" s="5">
        <v>153673680</v>
      </c>
      <c r="D27" s="5">
        <v>51846888.19000008</v>
      </c>
      <c r="I27" t="s">
        <v>18</v>
      </c>
      <c r="J27" s="5">
        <v>242964333</v>
      </c>
      <c r="K27" s="5">
        <v>85667873.180000037</v>
      </c>
      <c r="O27" t="s">
        <v>30</v>
      </c>
      <c r="P27" s="5">
        <v>60174133</v>
      </c>
      <c r="R27" t="str">
        <f t="shared" si="0"/>
        <v>California</v>
      </c>
      <c r="S27">
        <f t="shared" si="1"/>
        <v>60174133</v>
      </c>
      <c r="V27" t="s">
        <v>78</v>
      </c>
      <c r="W27" s="5">
        <v>96555176.469999984</v>
      </c>
      <c r="AB27" t="s">
        <v>10</v>
      </c>
      <c r="AC27" s="6">
        <v>899902125</v>
      </c>
      <c r="AD27" s="6">
        <v>332134761.44999921</v>
      </c>
    </row>
    <row r="28" spans="2:30" x14ac:dyDescent="0.2">
      <c r="B28" t="s">
        <v>9</v>
      </c>
      <c r="C28" s="5">
        <v>128002813</v>
      </c>
      <c r="D28" s="5">
        <v>45095826.81000001</v>
      </c>
      <c r="I28" t="s">
        <v>14</v>
      </c>
      <c r="J28" s="5">
        <v>220094720</v>
      </c>
      <c r="K28" s="5">
        <v>80722124.810000047</v>
      </c>
      <c r="O28" t="s">
        <v>34</v>
      </c>
      <c r="P28" s="5">
        <v>59283714</v>
      </c>
      <c r="R28" t="str">
        <f t="shared" si="0"/>
        <v>Florida</v>
      </c>
      <c r="S28">
        <f t="shared" si="1"/>
        <v>59283714</v>
      </c>
      <c r="V28" t="s">
        <v>10</v>
      </c>
      <c r="W28" s="5">
        <v>332134761.44999921</v>
      </c>
    </row>
    <row r="29" spans="2:30" x14ac:dyDescent="0.2">
      <c r="B29" t="s">
        <v>4</v>
      </c>
      <c r="C29" s="5">
        <v>123728632</v>
      </c>
      <c r="D29" s="5">
        <v>44763030.329999968</v>
      </c>
      <c r="I29" t="s">
        <v>16</v>
      </c>
      <c r="J29" s="5">
        <v>182470997</v>
      </c>
      <c r="K29" s="5">
        <v>74332954.960000008</v>
      </c>
      <c r="O29" t="s">
        <v>68</v>
      </c>
      <c r="P29" s="5">
        <v>46359746</v>
      </c>
      <c r="R29" t="str">
        <f t="shared" si="0"/>
        <v>Texas</v>
      </c>
      <c r="S29">
        <f t="shared" si="1"/>
        <v>46359746</v>
      </c>
    </row>
    <row r="30" spans="2:30" x14ac:dyDescent="0.2">
      <c r="B30" t="s">
        <v>8</v>
      </c>
      <c r="C30" s="5">
        <v>106631896</v>
      </c>
      <c r="D30" s="5">
        <v>38975784.940000013</v>
      </c>
      <c r="I30" t="s">
        <v>15</v>
      </c>
      <c r="J30" s="5">
        <v>102114753</v>
      </c>
      <c r="K30" s="5">
        <v>36811252.580000006</v>
      </c>
      <c r="O30" t="s">
        <v>65</v>
      </c>
      <c r="P30" s="5">
        <v>29285637</v>
      </c>
      <c r="R30" t="str">
        <f t="shared" si="0"/>
        <v>South Carolina</v>
      </c>
      <c r="S30">
        <f t="shared" si="1"/>
        <v>29285637</v>
      </c>
    </row>
    <row r="31" spans="2:30" x14ac:dyDescent="0.2">
      <c r="B31" t="s">
        <v>10</v>
      </c>
      <c r="C31" s="5">
        <v>899902125</v>
      </c>
      <c r="D31" s="5">
        <v>332134761.44999921</v>
      </c>
      <c r="I31" t="s">
        <v>13</v>
      </c>
      <c r="J31" s="5">
        <v>77698912</v>
      </c>
      <c r="K31" s="5">
        <v>28818503.310000002</v>
      </c>
      <c r="O31" t="s">
        <v>72</v>
      </c>
      <c r="P31" s="5">
        <v>26330718</v>
      </c>
      <c r="R31" t="str">
        <f t="shared" si="0"/>
        <v>Washington</v>
      </c>
      <c r="S31">
        <f t="shared" si="1"/>
        <v>26330718</v>
      </c>
    </row>
    <row r="32" spans="2:30" x14ac:dyDescent="0.2">
      <c r="I32" t="s">
        <v>17</v>
      </c>
      <c r="J32" s="5">
        <v>74558410</v>
      </c>
      <c r="K32" s="5">
        <v>25782052.610000003</v>
      </c>
      <c r="O32" t="s">
        <v>58</v>
      </c>
      <c r="P32" s="5">
        <v>23956531</v>
      </c>
      <c r="R32" t="str">
        <f t="shared" si="0"/>
        <v>North Carolina</v>
      </c>
      <c r="S32">
        <f t="shared" si="1"/>
        <v>23956531</v>
      </c>
    </row>
    <row r="33" spans="3:19" x14ac:dyDescent="0.2">
      <c r="I33" t="s">
        <v>10</v>
      </c>
      <c r="J33" s="5">
        <v>899902125</v>
      </c>
      <c r="K33" s="5">
        <v>332134761.44999921</v>
      </c>
      <c r="O33" t="s">
        <v>43</v>
      </c>
      <c r="P33" s="5">
        <v>23750781</v>
      </c>
      <c r="R33" t="str">
        <f t="shared" si="0"/>
        <v>Louisiana</v>
      </c>
      <c r="S33">
        <f t="shared" si="1"/>
        <v>23750781</v>
      </c>
    </row>
    <row r="34" spans="3:19" x14ac:dyDescent="0.2">
      <c r="C34" t="s">
        <v>93</v>
      </c>
      <c r="O34" t="s">
        <v>36</v>
      </c>
      <c r="P34" s="5">
        <v>22282457</v>
      </c>
      <c r="R34" t="str">
        <f t="shared" si="0"/>
        <v>Hawaii</v>
      </c>
      <c r="S34">
        <f t="shared" si="1"/>
        <v>22282457</v>
      </c>
    </row>
    <row r="35" spans="3:19" x14ac:dyDescent="0.2">
      <c r="C35" s="1">
        <f>AVERAGE(C25:C30)</f>
        <v>149983687.5</v>
      </c>
      <c r="O35" t="s">
        <v>71</v>
      </c>
      <c r="P35" s="5">
        <v>21575040</v>
      </c>
      <c r="R35" t="str">
        <f t="shared" si="0"/>
        <v>Virginia</v>
      </c>
      <c r="S35">
        <f t="shared" si="1"/>
        <v>21575040</v>
      </c>
    </row>
    <row r="36" spans="3:19" x14ac:dyDescent="0.2">
      <c r="O36" t="s">
        <v>62</v>
      </c>
      <c r="P36" s="5">
        <v>21349674</v>
      </c>
      <c r="R36" t="str">
        <f t="shared" si="0"/>
        <v>Oregon</v>
      </c>
      <c r="S36">
        <f t="shared" si="1"/>
        <v>21349674</v>
      </c>
    </row>
    <row r="37" spans="3:19" x14ac:dyDescent="0.2">
      <c r="O37" t="s">
        <v>31</v>
      </c>
      <c r="P37" s="5">
        <v>20996536</v>
      </c>
      <c r="R37" t="str">
        <f t="shared" si="0"/>
        <v>Colorado</v>
      </c>
      <c r="S37">
        <f t="shared" si="1"/>
        <v>20996536</v>
      </c>
    </row>
    <row r="38" spans="3:19" x14ac:dyDescent="0.2">
      <c r="O38" t="s">
        <v>53</v>
      </c>
      <c r="P38" s="5">
        <v>20858509</v>
      </c>
      <c r="R38" t="str">
        <f t="shared" si="0"/>
        <v>Nevada</v>
      </c>
      <c r="S38">
        <f t="shared" si="1"/>
        <v>20858509</v>
      </c>
    </row>
    <row r="39" spans="3:19" x14ac:dyDescent="0.2">
      <c r="O39" t="s">
        <v>56</v>
      </c>
      <c r="P39" s="5">
        <v>19865016</v>
      </c>
      <c r="R39" t="str">
        <f t="shared" si="0"/>
        <v>New Mexico</v>
      </c>
      <c r="S39">
        <f t="shared" si="1"/>
        <v>19865016</v>
      </c>
    </row>
    <row r="40" spans="3:19" x14ac:dyDescent="0.2">
      <c r="O40" t="s">
        <v>37</v>
      </c>
      <c r="P40" s="5">
        <v>19276878</v>
      </c>
      <c r="R40" t="str">
        <f t="shared" si="0"/>
        <v>Idaho</v>
      </c>
      <c r="S40">
        <f t="shared" si="1"/>
        <v>19276878</v>
      </c>
    </row>
    <row r="41" spans="3:19" x14ac:dyDescent="0.2">
      <c r="O41" t="s">
        <v>35</v>
      </c>
      <c r="P41" s="5">
        <v>18997466</v>
      </c>
      <c r="R41" t="str">
        <f t="shared" si="0"/>
        <v>Georgia</v>
      </c>
      <c r="S41">
        <f t="shared" si="1"/>
        <v>18997466</v>
      </c>
    </row>
    <row r="42" spans="3:19" x14ac:dyDescent="0.2">
      <c r="O42" t="s">
        <v>47</v>
      </c>
      <c r="P42" s="5">
        <v>18625433</v>
      </c>
      <c r="R42" t="str">
        <f t="shared" si="0"/>
        <v>Michigan</v>
      </c>
      <c r="S42">
        <f t="shared" si="1"/>
        <v>18625433</v>
      </c>
    </row>
    <row r="43" spans="3:19" x14ac:dyDescent="0.2">
      <c r="O43" t="s">
        <v>75</v>
      </c>
      <c r="P43" s="5">
        <v>18577517</v>
      </c>
      <c r="R43" t="str">
        <f t="shared" si="0"/>
        <v>Wyoming</v>
      </c>
      <c r="S43">
        <f t="shared" si="1"/>
        <v>18577517</v>
      </c>
    </row>
    <row r="44" spans="3:19" x14ac:dyDescent="0.2">
      <c r="O44" t="s">
        <v>60</v>
      </c>
      <c r="P44" s="5">
        <v>18484583</v>
      </c>
      <c r="R44" t="str">
        <f t="shared" si="0"/>
        <v>Ohio</v>
      </c>
      <c r="S44">
        <f t="shared" si="1"/>
        <v>18484583</v>
      </c>
    </row>
    <row r="45" spans="3:19" x14ac:dyDescent="0.2">
      <c r="O45" t="s">
        <v>67</v>
      </c>
      <c r="P45" s="5">
        <v>18067440</v>
      </c>
      <c r="R45" t="str">
        <f t="shared" si="0"/>
        <v>Tennessee</v>
      </c>
      <c r="S45">
        <f t="shared" si="1"/>
        <v>18067440</v>
      </c>
    </row>
    <row r="46" spans="3:19" x14ac:dyDescent="0.2">
      <c r="O46" t="s">
        <v>26</v>
      </c>
      <c r="P46" s="5">
        <v>17633424</v>
      </c>
      <c r="R46" t="str">
        <f t="shared" si="0"/>
        <v>Alabama</v>
      </c>
      <c r="S46">
        <f t="shared" si="1"/>
        <v>17633424</v>
      </c>
    </row>
    <row r="47" spans="3:19" x14ac:dyDescent="0.2">
      <c r="O47" t="s">
        <v>54</v>
      </c>
      <c r="P47" s="5">
        <v>16411667</v>
      </c>
      <c r="R47" t="str">
        <f t="shared" si="0"/>
        <v>New Hampshire</v>
      </c>
      <c r="S47">
        <f t="shared" si="1"/>
        <v>16411667</v>
      </c>
    </row>
    <row r="48" spans="3:19" x14ac:dyDescent="0.2">
      <c r="O48" t="s">
        <v>28</v>
      </c>
      <c r="P48" s="5">
        <v>15782221</v>
      </c>
      <c r="R48" t="str">
        <f t="shared" si="0"/>
        <v>Arizona</v>
      </c>
      <c r="S48">
        <f t="shared" si="1"/>
        <v>15782221</v>
      </c>
    </row>
    <row r="49" spans="15:19" x14ac:dyDescent="0.2">
      <c r="O49" t="s">
        <v>51</v>
      </c>
      <c r="P49" s="5">
        <v>15710886</v>
      </c>
      <c r="R49" t="str">
        <f t="shared" si="0"/>
        <v>Montana</v>
      </c>
      <c r="S49">
        <f t="shared" si="1"/>
        <v>15710886</v>
      </c>
    </row>
    <row r="50" spans="15:19" x14ac:dyDescent="0.2">
      <c r="O50" t="s">
        <v>49</v>
      </c>
      <c r="P50" s="5">
        <v>15591709.000000002</v>
      </c>
      <c r="R50" t="str">
        <f t="shared" si="0"/>
        <v>Mississippi</v>
      </c>
      <c r="S50">
        <f t="shared" si="1"/>
        <v>15591709.000000002</v>
      </c>
    </row>
    <row r="51" spans="15:19" x14ac:dyDescent="0.2">
      <c r="O51" t="s">
        <v>27</v>
      </c>
      <c r="P51" s="5">
        <v>14753103</v>
      </c>
      <c r="R51" t="str">
        <f t="shared" si="0"/>
        <v>Alaska</v>
      </c>
      <c r="S51">
        <f t="shared" si="1"/>
        <v>14753103</v>
      </c>
    </row>
    <row r="52" spans="15:19" x14ac:dyDescent="0.2">
      <c r="O52" t="s">
        <v>70</v>
      </c>
      <c r="P52" s="5">
        <v>14352923</v>
      </c>
      <c r="R52" t="str">
        <f t="shared" si="0"/>
        <v>Vermont</v>
      </c>
      <c r="S52">
        <f t="shared" si="1"/>
        <v>14352923</v>
      </c>
    </row>
    <row r="53" spans="15:19" x14ac:dyDescent="0.2">
      <c r="O53" t="s">
        <v>29</v>
      </c>
      <c r="P53" s="5">
        <v>12639347</v>
      </c>
      <c r="R53" t="str">
        <f t="shared" si="0"/>
        <v>Arkansas</v>
      </c>
      <c r="S53">
        <f t="shared" si="1"/>
        <v>12639347</v>
      </c>
    </row>
    <row r="54" spans="15:19" x14ac:dyDescent="0.2">
      <c r="O54" t="s">
        <v>33</v>
      </c>
      <c r="P54" s="5">
        <v>12298412</v>
      </c>
      <c r="R54" t="str">
        <f t="shared" si="0"/>
        <v>Delaware</v>
      </c>
      <c r="S54">
        <f t="shared" si="1"/>
        <v>12298412</v>
      </c>
    </row>
    <row r="55" spans="15:19" x14ac:dyDescent="0.2">
      <c r="O55" t="s">
        <v>32</v>
      </c>
      <c r="P55" s="5">
        <v>11573448</v>
      </c>
      <c r="R55" t="str">
        <f t="shared" si="0"/>
        <v>Connecticut</v>
      </c>
      <c r="S55">
        <f t="shared" si="1"/>
        <v>11573448</v>
      </c>
    </row>
    <row r="56" spans="15:19" x14ac:dyDescent="0.2">
      <c r="O56" t="s">
        <v>46</v>
      </c>
      <c r="P56" s="5">
        <v>11076810</v>
      </c>
      <c r="R56" t="str">
        <f t="shared" si="0"/>
        <v>Massachusetts</v>
      </c>
      <c r="S56">
        <f t="shared" si="1"/>
        <v>11076810</v>
      </c>
    </row>
    <row r="57" spans="15:19" x14ac:dyDescent="0.2">
      <c r="O57" t="s">
        <v>73</v>
      </c>
      <c r="P57" s="5">
        <v>10689160</v>
      </c>
      <c r="R57" t="str">
        <f t="shared" si="0"/>
        <v>West Virginia</v>
      </c>
      <c r="S57">
        <f t="shared" si="1"/>
        <v>10689160</v>
      </c>
    </row>
    <row r="58" spans="15:19" x14ac:dyDescent="0.2">
      <c r="O58" t="s">
        <v>61</v>
      </c>
      <c r="P58" s="5">
        <v>10620734</v>
      </c>
      <c r="R58" t="str">
        <f t="shared" si="0"/>
        <v>Oklahoma</v>
      </c>
      <c r="S58">
        <f t="shared" si="1"/>
        <v>10620734</v>
      </c>
    </row>
    <row r="59" spans="15:19" x14ac:dyDescent="0.2">
      <c r="O59" t="s">
        <v>63</v>
      </c>
      <c r="P59" s="5">
        <v>10357519</v>
      </c>
      <c r="R59" t="str">
        <f t="shared" si="0"/>
        <v>Pennsylvania</v>
      </c>
      <c r="S59">
        <f t="shared" si="1"/>
        <v>10357519</v>
      </c>
    </row>
    <row r="60" spans="15:19" x14ac:dyDescent="0.2">
      <c r="O60" t="s">
        <v>42</v>
      </c>
      <c r="P60" s="5">
        <v>10072848</v>
      </c>
      <c r="R60" t="str">
        <f t="shared" si="0"/>
        <v>Kentucky</v>
      </c>
      <c r="S60">
        <f t="shared" si="1"/>
        <v>10072848</v>
      </c>
    </row>
    <row r="61" spans="15:19" x14ac:dyDescent="0.2">
      <c r="O61" t="s">
        <v>41</v>
      </c>
      <c r="P61" s="5">
        <v>9972864</v>
      </c>
      <c r="R61" t="str">
        <f t="shared" si="0"/>
        <v>Kansas</v>
      </c>
      <c r="S61">
        <f t="shared" si="1"/>
        <v>9972864</v>
      </c>
    </row>
    <row r="62" spans="15:19" x14ac:dyDescent="0.2">
      <c r="O62" t="s">
        <v>55</v>
      </c>
      <c r="P62" s="5">
        <v>9934246</v>
      </c>
      <c r="R62" t="str">
        <f t="shared" si="0"/>
        <v>New Jersey</v>
      </c>
      <c r="S62">
        <f t="shared" si="1"/>
        <v>9934246</v>
      </c>
    </row>
    <row r="63" spans="15:19" x14ac:dyDescent="0.2">
      <c r="O63" t="s">
        <v>38</v>
      </c>
      <c r="P63" s="5">
        <v>9797488</v>
      </c>
      <c r="R63" t="str">
        <f t="shared" si="0"/>
        <v>Illinois</v>
      </c>
      <c r="S63">
        <f t="shared" si="1"/>
        <v>9797488</v>
      </c>
    </row>
    <row r="64" spans="15:19" x14ac:dyDescent="0.2">
      <c r="O64" t="s">
        <v>69</v>
      </c>
      <c r="P64" s="5">
        <v>9696420</v>
      </c>
      <c r="R64" t="str">
        <f t="shared" si="0"/>
        <v>Utah</v>
      </c>
      <c r="S64">
        <f t="shared" si="1"/>
        <v>9696420</v>
      </c>
    </row>
    <row r="65" spans="15:19" x14ac:dyDescent="0.2">
      <c r="O65" t="s">
        <v>50</v>
      </c>
      <c r="P65" s="5">
        <v>9683265</v>
      </c>
      <c r="R65" t="str">
        <f t="shared" si="0"/>
        <v>Missouri</v>
      </c>
      <c r="S65">
        <f t="shared" si="1"/>
        <v>9683265</v>
      </c>
    </row>
    <row r="66" spans="15:19" x14ac:dyDescent="0.2">
      <c r="O66" t="s">
        <v>44</v>
      </c>
      <c r="P66" s="5">
        <v>9195978</v>
      </c>
      <c r="R66" t="str">
        <f t="shared" si="0"/>
        <v>Maine</v>
      </c>
      <c r="S66">
        <f t="shared" si="1"/>
        <v>9195978</v>
      </c>
    </row>
    <row r="67" spans="15:19" x14ac:dyDescent="0.2">
      <c r="O67" t="s">
        <v>39</v>
      </c>
      <c r="P67" s="5">
        <v>8836198</v>
      </c>
      <c r="R67" t="str">
        <f t="shared" si="0"/>
        <v>Indiana</v>
      </c>
      <c r="S67">
        <f t="shared" si="1"/>
        <v>8836198</v>
      </c>
    </row>
    <row r="68" spans="15:19" x14ac:dyDescent="0.2">
      <c r="O68" t="s">
        <v>66</v>
      </c>
      <c r="P68" s="5">
        <v>8495576</v>
      </c>
      <c r="R68" t="str">
        <f t="shared" si="0"/>
        <v>South Dakota</v>
      </c>
      <c r="S68">
        <f t="shared" si="1"/>
        <v>8495576</v>
      </c>
    </row>
    <row r="69" spans="15:19" x14ac:dyDescent="0.2">
      <c r="O69" t="s">
        <v>64</v>
      </c>
      <c r="P69" s="5">
        <v>8446806</v>
      </c>
      <c r="R69" t="str">
        <f t="shared" si="0"/>
        <v>Rhode Island</v>
      </c>
      <c r="S69">
        <f t="shared" si="1"/>
        <v>8446806</v>
      </c>
    </row>
    <row r="70" spans="15:19" x14ac:dyDescent="0.2">
      <c r="O70" t="s">
        <v>45</v>
      </c>
      <c r="P70" s="5">
        <v>7758059</v>
      </c>
      <c r="R70" t="str">
        <f t="shared" si="0"/>
        <v>Maryland</v>
      </c>
      <c r="S70">
        <f t="shared" si="1"/>
        <v>7758059</v>
      </c>
    </row>
    <row r="71" spans="15:19" x14ac:dyDescent="0.2">
      <c r="O71" t="s">
        <v>59</v>
      </c>
      <c r="P71" s="5">
        <v>7735580</v>
      </c>
      <c r="R71" t="str">
        <f t="shared" si="0"/>
        <v>North Dakota</v>
      </c>
      <c r="S71">
        <f t="shared" si="1"/>
        <v>7735580</v>
      </c>
    </row>
    <row r="72" spans="15:19" x14ac:dyDescent="0.2">
      <c r="O72" t="s">
        <v>74</v>
      </c>
      <c r="P72" s="5">
        <v>7727469</v>
      </c>
      <c r="R72" t="str">
        <f t="shared" si="0"/>
        <v>Wisconsin</v>
      </c>
      <c r="S72">
        <f t="shared" si="1"/>
        <v>7727469</v>
      </c>
    </row>
    <row r="73" spans="15:19" x14ac:dyDescent="0.2">
      <c r="O73" t="s">
        <v>40</v>
      </c>
      <c r="P73" s="5">
        <v>7424011</v>
      </c>
      <c r="R73" t="str">
        <f t="shared" si="0"/>
        <v>Iowa</v>
      </c>
      <c r="S73">
        <f t="shared" si="1"/>
        <v>7424011</v>
      </c>
    </row>
    <row r="74" spans="15:19" x14ac:dyDescent="0.2">
      <c r="O74" t="s">
        <v>48</v>
      </c>
      <c r="P74" s="5">
        <v>7378068</v>
      </c>
      <c r="R74" t="str">
        <f t="shared" si="0"/>
        <v>Minnesota</v>
      </c>
      <c r="S74">
        <f t="shared" si="1"/>
        <v>7378068</v>
      </c>
    </row>
    <row r="75" spans="15:19" x14ac:dyDescent="0.2">
      <c r="O75" t="s">
        <v>52</v>
      </c>
      <c r="P75" s="5">
        <v>5929038</v>
      </c>
      <c r="R75" t="str">
        <f t="shared" si="0"/>
        <v>Nebraska</v>
      </c>
      <c r="S75">
        <f t="shared" si="1"/>
        <v>5929038</v>
      </c>
    </row>
    <row r="76" spans="15:19" x14ac:dyDescent="0.2">
      <c r="O76" t="s">
        <v>10</v>
      </c>
      <c r="P76" s="5">
        <v>899902125</v>
      </c>
      <c r="R76" t="str">
        <f t="shared" si="0"/>
        <v>Grand Total</v>
      </c>
      <c r="S76">
        <f t="shared" si="1"/>
        <v>899902125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D9CDD-01B6-413E-82F1-F65E0A5398C9}">
  <dimension ref="A1"/>
  <sheetViews>
    <sheetView showGridLines="0" tabSelected="1" topLeftCell="B1" workbookViewId="0">
      <selection activeCell="J33" sqref="J33"/>
    </sheetView>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85302-248B-4B38-91D4-6562AB3A39A1}">
  <dimension ref="A1"/>
  <sheetViews>
    <sheetView workbookViewId="0">
      <selection activeCell="F20" sqref="F20"/>
    </sheetView>
  </sheetViews>
  <sheetFormatPr defaultRowHeight="14.25"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D5B8943C-E6DA-461B-B7E6-74BAC6F3EFC9}">
  <ds:schemaRefs/>
</ds:datastoreItem>
</file>

<file path=customXml/itemProps2.xml><?xml version="1.0" encoding="utf-8"?>
<ds:datastoreItem xmlns:ds="http://schemas.openxmlformats.org/officeDocument/2006/customXml" ds:itemID="{72E94BCC-5DD7-47C6-8FA3-91AF61F3FD19}">
  <ds:schemaRefs/>
</ds:datastoreItem>
</file>

<file path=customXml/itemProps3.xml><?xml version="1.0" encoding="utf-8"?>
<ds:datastoreItem xmlns:ds="http://schemas.openxmlformats.org/officeDocument/2006/customXml" ds:itemID="{7092D6BE-385E-4072-9FC3-0B4A97953C3E}">
  <ds:schemaRefs/>
</ds:datastoreItem>
</file>

<file path=customXml/itemProps4.xml><?xml version="1.0" encoding="utf-8"?>
<ds:datastoreItem xmlns:ds="http://schemas.openxmlformats.org/officeDocument/2006/customXml" ds:itemID="{E1F638CD-90C1-43A3-89C4-11700D5E4D46}">
  <ds:schemaRefs/>
</ds:datastoreItem>
</file>

<file path=customXml/itemProps5.xml><?xml version="1.0" encoding="utf-8"?>
<ds:datastoreItem xmlns:ds="http://schemas.openxmlformats.org/officeDocument/2006/customXml" ds:itemID="{22C09967-986F-4EB9-9104-6F3253138462}">
  <ds:schemaRefs/>
</ds:datastoreItem>
</file>

<file path=customXml/itemProps6.xml><?xml version="1.0" encoding="utf-8"?>
<ds:datastoreItem xmlns:ds="http://schemas.openxmlformats.org/officeDocument/2006/customXml" ds:itemID="{EE6FEBC0-9BF0-443A-8E60-66751A398470}">
  <ds:schemaRefs/>
</ds:datastoreItem>
</file>

<file path=customXml/itemProps7.xml><?xml version="1.0" encoding="utf-8"?>
<ds:datastoreItem xmlns:ds="http://schemas.openxmlformats.org/officeDocument/2006/customXml" ds:itemID="{440160BB-6ED9-4011-B494-DDD68196F38A}">
  <ds:schemaRefs/>
</ds:datastoreItem>
</file>

<file path=customXml/itemProps8.xml><?xml version="1.0" encoding="utf-8"?>
<ds:datastoreItem xmlns:ds="http://schemas.openxmlformats.org/officeDocument/2006/customXml" ds:itemID="{5684EF50-6A27-411E-9E38-B304B09683B5}">
  <ds:schemaRefs/>
</ds:datastoreItem>
</file>

<file path=customXml/itemProps9.xml><?xml version="1.0" encoding="utf-8"?>
<ds:datastoreItem xmlns:ds="http://schemas.openxmlformats.org/officeDocument/2006/customXml" ds:itemID="{6AD9BAD1-C255-4E0D-BC61-EA70D0EF1D9B}">
  <ds:schemaRefs/>
</ds:datastoreItem>
</file>

<file path=customXml/itemProps10.xml><?xml version="1.0" encoding="utf-8"?>
<ds:datastoreItem xmlns:ds="http://schemas.openxmlformats.org/officeDocument/2006/customXml" ds:itemID="{7DF58710-7C50-433C-AD4C-3F19F5E0F128}">
  <ds:schemaRefs/>
</ds:datastoreItem>
</file>

<file path=customXml/itemProps11.xml><?xml version="1.0" encoding="utf-8"?>
<ds:datastoreItem xmlns:ds="http://schemas.openxmlformats.org/officeDocument/2006/customXml" ds:itemID="{E7472AF2-9A03-493D-A8AC-8F91B2EECA8F}">
  <ds:schemaRefs/>
</ds:datastoreItem>
</file>

<file path=customXml/itemProps12.xml><?xml version="1.0" encoding="utf-8"?>
<ds:datastoreItem xmlns:ds="http://schemas.openxmlformats.org/officeDocument/2006/customXml" ds:itemID="{5F0ECF3A-296F-44AD-AD35-4B7D7D4F45C4}">
  <ds:schemaRefs>
    <ds:schemaRef ds:uri="http://schemas.microsoft.com/DataMashup"/>
  </ds:schemaRefs>
</ds:datastoreItem>
</file>

<file path=customXml/itemProps13.xml><?xml version="1.0" encoding="utf-8"?>
<ds:datastoreItem xmlns:ds="http://schemas.openxmlformats.org/officeDocument/2006/customXml" ds:itemID="{FFF86527-F364-4EC5-A485-F28F7712FC43}">
  <ds:schemaRefs/>
</ds:datastoreItem>
</file>

<file path=customXml/itemProps14.xml><?xml version="1.0" encoding="utf-8"?>
<ds:datastoreItem xmlns:ds="http://schemas.openxmlformats.org/officeDocument/2006/customXml" ds:itemID="{F69CF1A8-8BB0-400D-8551-1D26DC74FBF6}">
  <ds:schemaRefs/>
</ds:datastoreItem>
</file>

<file path=customXml/itemProps15.xml><?xml version="1.0" encoding="utf-8"?>
<ds:datastoreItem xmlns:ds="http://schemas.openxmlformats.org/officeDocument/2006/customXml" ds:itemID="{F60644D1-9315-4595-8674-F8C95CD9DDF0}">
  <ds:schemaRefs/>
</ds:datastoreItem>
</file>

<file path=customXml/itemProps16.xml><?xml version="1.0" encoding="utf-8"?>
<ds:datastoreItem xmlns:ds="http://schemas.openxmlformats.org/officeDocument/2006/customXml" ds:itemID="{A73EC873-2324-402F-A7BA-CD75A607EF05}">
  <ds:schemaRefs/>
</ds:datastoreItem>
</file>

<file path=customXml/itemProps17.xml><?xml version="1.0" encoding="utf-8"?>
<ds:datastoreItem xmlns:ds="http://schemas.openxmlformats.org/officeDocument/2006/customXml" ds:itemID="{5010B166-67B2-477A-9F99-2B81C9D2B38F}">
  <ds:schemaRefs/>
</ds:datastoreItem>
</file>

<file path=customXml/itemProps18.xml><?xml version="1.0" encoding="utf-8"?>
<ds:datastoreItem xmlns:ds="http://schemas.openxmlformats.org/officeDocument/2006/customXml" ds:itemID="{E757ABBC-C550-4151-94DC-4CE20FA46FF9}">
  <ds:schemaRefs/>
</ds:datastoreItem>
</file>

<file path=customXml/itemProps19.xml><?xml version="1.0" encoding="utf-8"?>
<ds:datastoreItem xmlns:ds="http://schemas.openxmlformats.org/officeDocument/2006/customXml" ds:itemID="{D273FCF9-1714-4C74-8E61-B374A60C17AC}">
  <ds:schemaRefs/>
</ds:datastoreItem>
</file>

<file path=customXml/itemProps20.xml><?xml version="1.0" encoding="utf-8"?>
<ds:datastoreItem xmlns:ds="http://schemas.openxmlformats.org/officeDocument/2006/customXml" ds:itemID="{6F3FDC5C-F05E-46A9-BC32-0F35CBE910B2}">
  <ds:schemaRefs/>
</ds:datastoreItem>
</file>

<file path=customXml/itemProps21.xml><?xml version="1.0" encoding="utf-8"?>
<ds:datastoreItem xmlns:ds="http://schemas.openxmlformats.org/officeDocument/2006/customXml" ds:itemID="{8F4993AE-C04B-4583-9378-EAFF28E3ED0E}">
  <ds:schemaRefs/>
</ds:datastoreItem>
</file>

<file path=customXml/itemProps22.xml><?xml version="1.0" encoding="utf-8"?>
<ds:datastoreItem xmlns:ds="http://schemas.openxmlformats.org/officeDocument/2006/customXml" ds:itemID="{F7F7EC45-660E-41ED-BBAB-90C8DBF5BE44}">
  <ds:schemaRefs/>
</ds:datastoreItem>
</file>

<file path=customXml/itemProps23.xml><?xml version="1.0" encoding="utf-8"?>
<ds:datastoreItem xmlns:ds="http://schemas.openxmlformats.org/officeDocument/2006/customXml" ds:itemID="{22B593F1-8C65-4686-88AC-ECA3EE142B43}">
  <ds:schemaRefs/>
</ds:datastoreItem>
</file>

<file path=customXml/itemProps24.xml><?xml version="1.0" encoding="utf-8"?>
<ds:datastoreItem xmlns:ds="http://schemas.openxmlformats.org/officeDocument/2006/customXml" ds:itemID="{4A3277F1-7D18-446A-AD79-41CF445E3B5A}">
  <ds:schemaRefs/>
</ds:datastoreItem>
</file>

<file path=customXml/itemProps25.xml><?xml version="1.0" encoding="utf-8"?>
<ds:datastoreItem xmlns:ds="http://schemas.openxmlformats.org/officeDocument/2006/customXml" ds:itemID="{9DE68C0B-B50D-483F-89FF-A0A48041FA12}">
  <ds:schemaRefs/>
</ds:datastoreItem>
</file>

<file path=customXml/itemProps26.xml><?xml version="1.0" encoding="utf-8"?>
<ds:datastoreItem xmlns:ds="http://schemas.openxmlformats.org/officeDocument/2006/customXml" ds:itemID="{24CF24FE-A42D-449A-B17D-9F175BF61873}">
  <ds:schemaRefs/>
</ds:datastoreItem>
</file>

<file path=customXml/itemProps27.xml><?xml version="1.0" encoding="utf-8"?>
<ds:datastoreItem xmlns:ds="http://schemas.openxmlformats.org/officeDocument/2006/customXml" ds:itemID="{15D7E854-6592-4458-A079-8EDBD868668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YUNUSA BADAMASI</dc:creator>
  <cp:lastModifiedBy>MUHAMMAD YUNUSA BADAMASI</cp:lastModifiedBy>
  <dcterms:created xsi:type="dcterms:W3CDTF">2026-10-28T09:50:36Z</dcterms:created>
  <dcterms:modified xsi:type="dcterms:W3CDTF">2026-10-28T14:11:00Z</dcterms:modified>
</cp:coreProperties>
</file>